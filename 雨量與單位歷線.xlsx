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ziqin/Desktop/capstone data/"/>
    </mc:Choice>
  </mc:AlternateContent>
  <xr:revisionPtr revIDLastSave="0" documentId="13_ncr:1_{4BB4F106-611F-EC4A-B9DD-E2DE8A0BA318}" xr6:coauthVersionLast="47" xr6:coauthVersionMax="47" xr10:uidLastSave="{00000000-0000-0000-0000-000000000000}"/>
  <bookViews>
    <workbookView xWindow="0" yWindow="1020" windowWidth="25600" windowHeight="13420" activeTab="1" xr2:uid="{DCA705F4-0F8C-D24E-9283-AE27FA44B250}"/>
  </bookViews>
  <sheets>
    <sheet name="新店溪" sheetId="1" r:id="rId1"/>
    <sheet name="大漢溪" sheetId="2" r:id="rId2"/>
  </sheets>
  <definedNames>
    <definedName name="_xlchart.v1.0" hidden="1">新店溪!$E$2:$E$36</definedName>
    <definedName name="_xlchart.v1.1" hidden="1">新店溪!$E$2:$E$36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2" i="1"/>
  <c r="I2" i="1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2" i="2"/>
  <c r="I2" i="2" s="1"/>
  <c r="I67" i="2" l="1"/>
  <c r="H67" i="2"/>
  <c r="I5" i="1"/>
  <c r="H60" i="1"/>
  <c r="I60" i="1"/>
</calcChain>
</file>

<file path=xl/sharedStrings.xml><?xml version="1.0" encoding="utf-8"?>
<sst xmlns="http://schemas.openxmlformats.org/spreadsheetml/2006/main" count="7" uniqueCount="6">
  <si>
    <t>中正橋</t>
    <phoneticPr fontId="1" type="noConversion"/>
  </si>
  <si>
    <t>新店溪出口</t>
    <phoneticPr fontId="1" type="noConversion"/>
  </si>
  <si>
    <t>大漢溪出口</t>
    <phoneticPr fontId="1" type="noConversion"/>
  </si>
  <si>
    <t>三峽</t>
    <phoneticPr fontId="1" type="noConversion"/>
  </si>
  <si>
    <t>調整係數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</si>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</sst>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8" formatCode="0.00000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流量圖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新店溪!$H$2:$H$59</c:f>
              <c:numCache>
                <c:formatCode>General</c:formatCode>
                <c:ptCount val="58"/>
                <c:pt idx="0">
                  <c:v>36.898000000000003</c:v>
                </c:pt>
                <c:pt idx="1">
                  <c:v>121.261</c:v>
                </c:pt>
                <c:pt idx="2">
                  <c:v>283.57800000000003</c:v>
                </c:pt>
                <c:pt idx="3">
                  <c:v>616.70900000000006</c:v>
                </c:pt>
                <c:pt idx="4">
                  <c:v>1337.4</c:v>
                </c:pt>
                <c:pt idx="5">
                  <c:v>1871.71</c:v>
                </c:pt>
                <c:pt idx="6">
                  <c:v>2045.71</c:v>
                </c:pt>
                <c:pt idx="7">
                  <c:v>2327.84</c:v>
                </c:pt>
                <c:pt idx="8">
                  <c:v>2821.6400000000003</c:v>
                </c:pt>
                <c:pt idx="9">
                  <c:v>3822.6300000000006</c:v>
                </c:pt>
                <c:pt idx="10">
                  <c:v>5371.8300000000008</c:v>
                </c:pt>
                <c:pt idx="11">
                  <c:v>6671.55</c:v>
                </c:pt>
                <c:pt idx="12">
                  <c:v>7782.87</c:v>
                </c:pt>
                <c:pt idx="13">
                  <c:v>9135.380000000001</c:v>
                </c:pt>
                <c:pt idx="14">
                  <c:v>10478.1</c:v>
                </c:pt>
                <c:pt idx="15">
                  <c:v>11023.300000000001</c:v>
                </c:pt>
                <c:pt idx="16">
                  <c:v>10007.300000000001</c:v>
                </c:pt>
                <c:pt idx="17">
                  <c:v>8285.39</c:v>
                </c:pt>
                <c:pt idx="18">
                  <c:v>6720.77</c:v>
                </c:pt>
                <c:pt idx="19">
                  <c:v>5448.880000000001</c:v>
                </c:pt>
                <c:pt idx="20">
                  <c:v>4505.3300000000008</c:v>
                </c:pt>
                <c:pt idx="21">
                  <c:v>3737.34</c:v>
                </c:pt>
                <c:pt idx="22">
                  <c:v>3100.1200000000003</c:v>
                </c:pt>
                <c:pt idx="23">
                  <c:v>2614.3500000000004</c:v>
                </c:pt>
                <c:pt idx="24">
                  <c:v>2262.0400000000004</c:v>
                </c:pt>
                <c:pt idx="25">
                  <c:v>1994.7200000000003</c:v>
                </c:pt>
                <c:pt idx="26">
                  <c:v>1831.76</c:v>
                </c:pt>
                <c:pt idx="27">
                  <c:v>1832.61</c:v>
                </c:pt>
                <c:pt idx="28">
                  <c:v>1963.53</c:v>
                </c:pt>
                <c:pt idx="29">
                  <c:v>1865.8700000000001</c:v>
                </c:pt>
                <c:pt idx="30">
                  <c:v>1567.13</c:v>
                </c:pt>
                <c:pt idx="31">
                  <c:v>1286.2200000000003</c:v>
                </c:pt>
                <c:pt idx="32">
                  <c:v>1029.1500000000001</c:v>
                </c:pt>
                <c:pt idx="33">
                  <c:v>838.21399999999994</c:v>
                </c:pt>
                <c:pt idx="34">
                  <c:v>690.57200000000012</c:v>
                </c:pt>
                <c:pt idx="35">
                  <c:v>562.47700000000009</c:v>
                </c:pt>
                <c:pt idx="36">
                  <c:v>456.30200000000008</c:v>
                </c:pt>
                <c:pt idx="37">
                  <c:v>372.97300000000001</c:v>
                </c:pt>
                <c:pt idx="38">
                  <c:v>302.81599999999997</c:v>
                </c:pt>
                <c:pt idx="39">
                  <c:v>242.24600000000001</c:v>
                </c:pt>
                <c:pt idx="40">
                  <c:v>197.376</c:v>
                </c:pt>
                <c:pt idx="41">
                  <c:v>159.80600000000001</c:v>
                </c:pt>
                <c:pt idx="42">
                  <c:v>130.94200000000001</c:v>
                </c:pt>
                <c:pt idx="43">
                  <c:v>105.101</c:v>
                </c:pt>
                <c:pt idx="44">
                  <c:v>81.63</c:v>
                </c:pt>
                <c:pt idx="45">
                  <c:v>58.704000000000001</c:v>
                </c:pt>
                <c:pt idx="46">
                  <c:v>40.525000000000006</c:v>
                </c:pt>
                <c:pt idx="47">
                  <c:v>32.369</c:v>
                </c:pt>
                <c:pt idx="48">
                  <c:v>25.847000000000005</c:v>
                </c:pt>
                <c:pt idx="49">
                  <c:v>21.005000000000003</c:v>
                </c:pt>
                <c:pt idx="50">
                  <c:v>17.568000000000001</c:v>
                </c:pt>
                <c:pt idx="51">
                  <c:v>14.61</c:v>
                </c:pt>
                <c:pt idx="52">
                  <c:v>11.943000000000001</c:v>
                </c:pt>
                <c:pt idx="53">
                  <c:v>9.6290000000000013</c:v>
                </c:pt>
                <c:pt idx="54">
                  <c:v>7.3400000000000007</c:v>
                </c:pt>
                <c:pt idx="55">
                  <c:v>5.5659999999999998</c:v>
                </c:pt>
                <c:pt idx="56">
                  <c:v>4.1920000000000002</c:v>
                </c:pt>
                <c:pt idx="57">
                  <c:v>3.3290000000000002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B-144A-9625-75F18AF9BEE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新店溪!$I$2:$I$59</c:f>
              <c:numCache>
                <c:formatCode>0.00000</c:formatCode>
                <c:ptCount val="58"/>
                <c:pt idx="0">
                  <c:v>44.2776</c:v>
                </c:pt>
                <c:pt idx="1">
                  <c:v>145.51319999999998</c:v>
                </c:pt>
                <c:pt idx="2">
                  <c:v>340.29360000000003</c:v>
                </c:pt>
                <c:pt idx="3">
                  <c:v>740.05080000000009</c:v>
                </c:pt>
                <c:pt idx="4">
                  <c:v>1604.88</c:v>
                </c:pt>
                <c:pt idx="5">
                  <c:v>2246.0520000000001</c:v>
                </c:pt>
                <c:pt idx="6">
                  <c:v>2454.8519999999999</c:v>
                </c:pt>
                <c:pt idx="7">
                  <c:v>2793.4079999999999</c:v>
                </c:pt>
                <c:pt idx="8">
                  <c:v>3385.9680000000003</c:v>
                </c:pt>
                <c:pt idx="9">
                  <c:v>4587.1560000000009</c:v>
                </c:pt>
                <c:pt idx="10">
                  <c:v>6446.1960000000008</c:v>
                </c:pt>
                <c:pt idx="11">
                  <c:v>8005.86</c:v>
                </c:pt>
                <c:pt idx="12">
                  <c:v>9339.4439999999995</c:v>
                </c:pt>
                <c:pt idx="13">
                  <c:v>10962.456</c:v>
                </c:pt>
                <c:pt idx="14">
                  <c:v>12573.72</c:v>
                </c:pt>
                <c:pt idx="15">
                  <c:v>13227.960000000001</c:v>
                </c:pt>
                <c:pt idx="16">
                  <c:v>12008.76</c:v>
                </c:pt>
                <c:pt idx="17">
                  <c:v>9942.4679999999989</c:v>
                </c:pt>
                <c:pt idx="18">
                  <c:v>8064.924</c:v>
                </c:pt>
                <c:pt idx="19">
                  <c:v>6538.6560000000009</c:v>
                </c:pt>
                <c:pt idx="20">
                  <c:v>5406.3960000000006</c:v>
                </c:pt>
                <c:pt idx="21">
                  <c:v>4484.808</c:v>
                </c:pt>
                <c:pt idx="22">
                  <c:v>3720.1440000000002</c:v>
                </c:pt>
                <c:pt idx="23">
                  <c:v>3137.2200000000003</c:v>
                </c:pt>
                <c:pt idx="24">
                  <c:v>2714.4480000000003</c:v>
                </c:pt>
                <c:pt idx="25">
                  <c:v>2393.6640000000002</c:v>
                </c:pt>
                <c:pt idx="26">
                  <c:v>2198.1120000000001</c:v>
                </c:pt>
                <c:pt idx="27">
                  <c:v>2199.1319999999996</c:v>
                </c:pt>
                <c:pt idx="28">
                  <c:v>2356.2359999999999</c:v>
                </c:pt>
                <c:pt idx="29">
                  <c:v>2239.0439999999999</c:v>
                </c:pt>
                <c:pt idx="30">
                  <c:v>1880.556</c:v>
                </c:pt>
                <c:pt idx="31">
                  <c:v>1543.4640000000002</c:v>
                </c:pt>
                <c:pt idx="32">
                  <c:v>1234.98</c:v>
                </c:pt>
                <c:pt idx="33">
                  <c:v>1005.8567999999999</c:v>
                </c:pt>
                <c:pt idx="34">
                  <c:v>828.68640000000016</c:v>
                </c:pt>
                <c:pt idx="35">
                  <c:v>674.97240000000011</c:v>
                </c:pt>
                <c:pt idx="36">
                  <c:v>547.56240000000003</c:v>
                </c:pt>
                <c:pt idx="37">
                  <c:v>447.56760000000003</c:v>
                </c:pt>
                <c:pt idx="38">
                  <c:v>363.37919999999997</c:v>
                </c:pt>
                <c:pt idx="39">
                  <c:v>290.6952</c:v>
                </c:pt>
                <c:pt idx="40">
                  <c:v>236.85120000000001</c:v>
                </c:pt>
                <c:pt idx="41">
                  <c:v>191.7672</c:v>
                </c:pt>
                <c:pt idx="42">
                  <c:v>157.13040000000001</c:v>
                </c:pt>
                <c:pt idx="43">
                  <c:v>126.12119999999999</c:v>
                </c:pt>
                <c:pt idx="44">
                  <c:v>97.955999999999989</c:v>
                </c:pt>
                <c:pt idx="45">
                  <c:v>70.444800000000001</c:v>
                </c:pt>
                <c:pt idx="46">
                  <c:v>48.63</c:v>
                </c:pt>
                <c:pt idx="47">
                  <c:v>38.842799999999997</c:v>
                </c:pt>
                <c:pt idx="48">
                  <c:v>31.016400000000004</c:v>
                </c:pt>
                <c:pt idx="49">
                  <c:v>25.206000000000003</c:v>
                </c:pt>
                <c:pt idx="50">
                  <c:v>21.081600000000002</c:v>
                </c:pt>
                <c:pt idx="51">
                  <c:v>17.532</c:v>
                </c:pt>
                <c:pt idx="52">
                  <c:v>14.331600000000002</c:v>
                </c:pt>
                <c:pt idx="53">
                  <c:v>11.554800000000002</c:v>
                </c:pt>
                <c:pt idx="54">
                  <c:v>8.8079999999999998</c:v>
                </c:pt>
                <c:pt idx="55">
                  <c:v>6.6791999999999998</c:v>
                </c:pt>
                <c:pt idx="56">
                  <c:v>5.0304000000000002</c:v>
                </c:pt>
                <c:pt idx="57">
                  <c:v>3.9948000000000001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7B-144A-9625-75F18AF9BEE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新店溪!$M$2:$M$60</c:f>
              <c:numCache>
                <c:formatCode>General</c:formatCode>
                <c:ptCount val="5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7B-144A-9625-75F18AF9B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250752"/>
        <c:axId val="911952784"/>
      </c:scatterChart>
      <c:valAx>
        <c:axId val="91225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1952784"/>
        <c:crosses val="autoZero"/>
        <c:crossBetween val="midCat"/>
      </c:valAx>
      <c:valAx>
        <c:axId val="9119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225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單位歷線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新店溪!$E$2:$E$36</c:f>
              <c:numCache>
                <c:formatCode>General</c:formatCode>
                <c:ptCount val="35"/>
                <c:pt idx="0">
                  <c:v>9.7100000000000009</c:v>
                </c:pt>
                <c:pt idx="1">
                  <c:v>29.1</c:v>
                </c:pt>
                <c:pt idx="2">
                  <c:v>65.180000000000007</c:v>
                </c:pt>
                <c:pt idx="3">
                  <c:v>137.55000000000001</c:v>
                </c:pt>
                <c:pt idx="4">
                  <c:v>294.29000000000002</c:v>
                </c:pt>
                <c:pt idx="5">
                  <c:v>358.44</c:v>
                </c:pt>
                <c:pt idx="6">
                  <c:v>306.29000000000002</c:v>
                </c:pt>
                <c:pt idx="7">
                  <c:v>253.94</c:v>
                </c:pt>
                <c:pt idx="8">
                  <c:v>196.64</c:v>
                </c:pt>
                <c:pt idx="9">
                  <c:v>160.22</c:v>
                </c:pt>
                <c:pt idx="10">
                  <c:v>135.75</c:v>
                </c:pt>
                <c:pt idx="11">
                  <c:v>113.66</c:v>
                </c:pt>
                <c:pt idx="12">
                  <c:v>91.29</c:v>
                </c:pt>
                <c:pt idx="13">
                  <c:v>73.510000000000005</c:v>
                </c:pt>
                <c:pt idx="14">
                  <c:v>59.6</c:v>
                </c:pt>
                <c:pt idx="15">
                  <c:v>46.22</c:v>
                </c:pt>
                <c:pt idx="16">
                  <c:v>38.67</c:v>
                </c:pt>
                <c:pt idx="17">
                  <c:v>34.44</c:v>
                </c:pt>
                <c:pt idx="18">
                  <c:v>30.18</c:v>
                </c:pt>
                <c:pt idx="19">
                  <c:v>25.99</c:v>
                </c:pt>
                <c:pt idx="20">
                  <c:v>21.96</c:v>
                </c:pt>
                <c:pt idx="21">
                  <c:v>18.190000000000001</c:v>
                </c:pt>
                <c:pt idx="22">
                  <c:v>14.76</c:v>
                </c:pt>
                <c:pt idx="23">
                  <c:v>11.78</c:v>
                </c:pt>
                <c:pt idx="24">
                  <c:v>9.32</c:v>
                </c:pt>
                <c:pt idx="25">
                  <c:v>7.5</c:v>
                </c:pt>
                <c:pt idx="26">
                  <c:v>6.32</c:v>
                </c:pt>
                <c:pt idx="27">
                  <c:v>5.32</c:v>
                </c:pt>
                <c:pt idx="28">
                  <c:v>4.3899999999999997</c:v>
                </c:pt>
                <c:pt idx="29">
                  <c:v>3.55</c:v>
                </c:pt>
                <c:pt idx="30">
                  <c:v>2.81</c:v>
                </c:pt>
                <c:pt idx="31">
                  <c:v>2.19</c:v>
                </c:pt>
                <c:pt idx="32">
                  <c:v>1.71</c:v>
                </c:pt>
                <c:pt idx="33">
                  <c:v>1.37</c:v>
                </c:pt>
                <c:pt idx="34">
                  <c:v>1.21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29-A448-A977-BD18BFBAF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716832"/>
        <c:axId val="515015376"/>
      </c:scatterChart>
      <c:valAx>
        <c:axId val="96171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5015376"/>
        <c:crosses val="autoZero"/>
        <c:crossBetween val="midCat"/>
      </c:valAx>
      <c:valAx>
        <c:axId val="5150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171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流量圖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大漢溪!$H$2:$H$66</c:f>
              <c:numCache>
                <c:formatCode>General</c:formatCode>
                <c:ptCount val="65"/>
                <c:pt idx="0">
                  <c:v>5.59</c:v>
                </c:pt>
                <c:pt idx="1">
                  <c:v>23.933000000000003</c:v>
                </c:pt>
                <c:pt idx="2">
                  <c:v>59.377000000000002</c:v>
                </c:pt>
                <c:pt idx="3">
                  <c:v>144.57500000000002</c:v>
                </c:pt>
                <c:pt idx="4">
                  <c:v>307.86200000000002</c:v>
                </c:pt>
                <c:pt idx="5">
                  <c:v>639.99800000000005</c:v>
                </c:pt>
                <c:pt idx="6">
                  <c:v>1109.9180000000001</c:v>
                </c:pt>
                <c:pt idx="7">
                  <c:v>1587.1540000000002</c:v>
                </c:pt>
                <c:pt idx="8">
                  <c:v>2148.88</c:v>
                </c:pt>
                <c:pt idx="9">
                  <c:v>2748.0200000000004</c:v>
                </c:pt>
                <c:pt idx="10">
                  <c:v>3538.42</c:v>
                </c:pt>
                <c:pt idx="11">
                  <c:v>4470.6400000000003</c:v>
                </c:pt>
                <c:pt idx="12">
                  <c:v>5440.0800000000008</c:v>
                </c:pt>
                <c:pt idx="13">
                  <c:v>6444.72</c:v>
                </c:pt>
                <c:pt idx="14">
                  <c:v>7354.68</c:v>
                </c:pt>
                <c:pt idx="15">
                  <c:v>8362.18</c:v>
                </c:pt>
                <c:pt idx="16">
                  <c:v>9279</c:v>
                </c:pt>
                <c:pt idx="17">
                  <c:v>9918.92</c:v>
                </c:pt>
                <c:pt idx="18">
                  <c:v>10308.900000000001</c:v>
                </c:pt>
                <c:pt idx="19">
                  <c:v>10228.460000000001</c:v>
                </c:pt>
                <c:pt idx="20">
                  <c:v>9691.4600000000009</c:v>
                </c:pt>
                <c:pt idx="21">
                  <c:v>8846.14</c:v>
                </c:pt>
                <c:pt idx="22">
                  <c:v>7979.9800000000005</c:v>
                </c:pt>
                <c:pt idx="23">
                  <c:v>7221.68</c:v>
                </c:pt>
                <c:pt idx="24">
                  <c:v>6547.7000000000007</c:v>
                </c:pt>
                <c:pt idx="25">
                  <c:v>5920.62</c:v>
                </c:pt>
                <c:pt idx="26">
                  <c:v>5332.8600000000006</c:v>
                </c:pt>
                <c:pt idx="27">
                  <c:v>4783.9400000000005</c:v>
                </c:pt>
                <c:pt idx="28">
                  <c:v>4274.66</c:v>
                </c:pt>
                <c:pt idx="29">
                  <c:v>3807.34</c:v>
                </c:pt>
                <c:pt idx="30">
                  <c:v>3384.8</c:v>
                </c:pt>
                <c:pt idx="31">
                  <c:v>3008.6200000000003</c:v>
                </c:pt>
                <c:pt idx="32">
                  <c:v>2675.0200000000004</c:v>
                </c:pt>
                <c:pt idx="33">
                  <c:v>2379.7800000000002</c:v>
                </c:pt>
                <c:pt idx="34">
                  <c:v>2119.98</c:v>
                </c:pt>
                <c:pt idx="35">
                  <c:v>1895.6880000000001</c:v>
                </c:pt>
                <c:pt idx="36">
                  <c:v>1705.626</c:v>
                </c:pt>
                <c:pt idx="37">
                  <c:v>1540.2360000000001</c:v>
                </c:pt>
                <c:pt idx="38">
                  <c:v>1390.664</c:v>
                </c:pt>
                <c:pt idx="39">
                  <c:v>1253.4340000000002</c:v>
                </c:pt>
                <c:pt idx="40">
                  <c:v>1127.644</c:v>
                </c:pt>
                <c:pt idx="41">
                  <c:v>1012.4879999999999</c:v>
                </c:pt>
                <c:pt idx="42">
                  <c:v>907.74599999999998</c:v>
                </c:pt>
                <c:pt idx="43">
                  <c:v>813.34400000000005</c:v>
                </c:pt>
                <c:pt idx="44">
                  <c:v>728.9140000000001</c:v>
                </c:pt>
                <c:pt idx="45">
                  <c:v>653.60800000000006</c:v>
                </c:pt>
                <c:pt idx="46">
                  <c:v>586.22200000000009</c:v>
                </c:pt>
                <c:pt idx="47">
                  <c:v>525.88599999999997</c:v>
                </c:pt>
                <c:pt idx="48">
                  <c:v>472.30600000000004</c:v>
                </c:pt>
                <c:pt idx="49">
                  <c:v>425.13800000000003</c:v>
                </c:pt>
                <c:pt idx="50">
                  <c:v>383.36</c:v>
                </c:pt>
                <c:pt idx="51">
                  <c:v>345.346</c:v>
                </c:pt>
                <c:pt idx="52">
                  <c:v>310.49200000000002</c:v>
                </c:pt>
                <c:pt idx="53">
                  <c:v>267.64600000000002</c:v>
                </c:pt>
                <c:pt idx="54">
                  <c:v>232.56200000000001</c:v>
                </c:pt>
                <c:pt idx="55">
                  <c:v>204.97399999999999</c:v>
                </c:pt>
                <c:pt idx="56">
                  <c:v>181.99900000000002</c:v>
                </c:pt>
                <c:pt idx="57">
                  <c:v>159.05100000000002</c:v>
                </c:pt>
                <c:pt idx="58">
                  <c:v>124.64300000000001</c:v>
                </c:pt>
                <c:pt idx="59">
                  <c:v>97.783000000000015</c:v>
                </c:pt>
                <c:pt idx="60">
                  <c:v>77.615000000000009</c:v>
                </c:pt>
                <c:pt idx="61">
                  <c:v>69.934000000000012</c:v>
                </c:pt>
                <c:pt idx="62">
                  <c:v>59.210000000000008</c:v>
                </c:pt>
                <c:pt idx="63">
                  <c:v>25.701000000000001</c:v>
                </c:pt>
                <c:pt idx="64">
                  <c:v>4.9969999999999999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F-8E4D-85F3-3B0895C4F5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大漢溪!$I$2:$I$66</c:f>
              <c:numCache>
                <c:formatCode>General</c:formatCode>
                <c:ptCount val="65"/>
                <c:pt idx="0">
                  <c:v>6.7079999999999993</c:v>
                </c:pt>
                <c:pt idx="1">
                  <c:v>28.719600000000003</c:v>
                </c:pt>
                <c:pt idx="2">
                  <c:v>71.252399999999994</c:v>
                </c:pt>
                <c:pt idx="3">
                  <c:v>173.49</c:v>
                </c:pt>
                <c:pt idx="4">
                  <c:v>369.43440000000004</c:v>
                </c:pt>
                <c:pt idx="5">
                  <c:v>767.99760000000003</c:v>
                </c:pt>
                <c:pt idx="6">
                  <c:v>1331.9016000000001</c:v>
                </c:pt>
                <c:pt idx="7">
                  <c:v>1904.5848000000001</c:v>
                </c:pt>
                <c:pt idx="8">
                  <c:v>2578.6559999999999</c:v>
                </c:pt>
                <c:pt idx="9">
                  <c:v>3297.6240000000003</c:v>
                </c:pt>
                <c:pt idx="10">
                  <c:v>4246.1040000000003</c:v>
                </c:pt>
                <c:pt idx="11">
                  <c:v>5364.768</c:v>
                </c:pt>
                <c:pt idx="12">
                  <c:v>6528.0960000000005</c:v>
                </c:pt>
                <c:pt idx="13">
                  <c:v>7733.6639999999998</c:v>
                </c:pt>
                <c:pt idx="14">
                  <c:v>8825.616</c:v>
                </c:pt>
                <c:pt idx="15">
                  <c:v>10034.616</c:v>
                </c:pt>
                <c:pt idx="16">
                  <c:v>11134.8</c:v>
                </c:pt>
                <c:pt idx="17">
                  <c:v>11902.704</c:v>
                </c:pt>
                <c:pt idx="18">
                  <c:v>12370.680000000002</c:v>
                </c:pt>
                <c:pt idx="19">
                  <c:v>12274.152</c:v>
                </c:pt>
                <c:pt idx="20">
                  <c:v>11629.752</c:v>
                </c:pt>
                <c:pt idx="21">
                  <c:v>10615.367999999999</c:v>
                </c:pt>
                <c:pt idx="22">
                  <c:v>9575.9760000000006</c:v>
                </c:pt>
                <c:pt idx="23">
                  <c:v>8666.0159999999996</c:v>
                </c:pt>
                <c:pt idx="24">
                  <c:v>7857.2400000000007</c:v>
                </c:pt>
                <c:pt idx="25">
                  <c:v>7104.7439999999997</c:v>
                </c:pt>
                <c:pt idx="26">
                  <c:v>6399.4320000000007</c:v>
                </c:pt>
                <c:pt idx="27">
                  <c:v>5740.7280000000001</c:v>
                </c:pt>
                <c:pt idx="28">
                  <c:v>5129.5919999999996</c:v>
                </c:pt>
                <c:pt idx="29">
                  <c:v>4568.808</c:v>
                </c:pt>
                <c:pt idx="30">
                  <c:v>4061.76</c:v>
                </c:pt>
                <c:pt idx="31">
                  <c:v>3610.3440000000005</c:v>
                </c:pt>
                <c:pt idx="32">
                  <c:v>3210.0240000000003</c:v>
                </c:pt>
                <c:pt idx="33">
                  <c:v>2855.7360000000003</c:v>
                </c:pt>
                <c:pt idx="34">
                  <c:v>2543.9760000000001</c:v>
                </c:pt>
                <c:pt idx="35">
                  <c:v>2274.8256000000001</c:v>
                </c:pt>
                <c:pt idx="36">
                  <c:v>2046.7511999999999</c:v>
                </c:pt>
                <c:pt idx="37">
                  <c:v>1848.2832000000001</c:v>
                </c:pt>
                <c:pt idx="38">
                  <c:v>1668.7967999999998</c:v>
                </c:pt>
                <c:pt idx="39">
                  <c:v>1504.1208000000001</c:v>
                </c:pt>
                <c:pt idx="40">
                  <c:v>1353.1728000000001</c:v>
                </c:pt>
                <c:pt idx="41">
                  <c:v>1214.9856</c:v>
                </c:pt>
                <c:pt idx="42">
                  <c:v>1089.2952</c:v>
                </c:pt>
                <c:pt idx="43">
                  <c:v>976.01279999999997</c:v>
                </c:pt>
                <c:pt idx="44">
                  <c:v>874.69680000000005</c:v>
                </c:pt>
                <c:pt idx="45">
                  <c:v>784.32960000000003</c:v>
                </c:pt>
                <c:pt idx="46">
                  <c:v>703.46640000000014</c:v>
                </c:pt>
                <c:pt idx="47">
                  <c:v>631.06319999999994</c:v>
                </c:pt>
                <c:pt idx="48">
                  <c:v>566.7672</c:v>
                </c:pt>
                <c:pt idx="49">
                  <c:v>510.16560000000004</c:v>
                </c:pt>
                <c:pt idx="50">
                  <c:v>460.03199999999998</c:v>
                </c:pt>
                <c:pt idx="51">
                  <c:v>414.41519999999997</c:v>
                </c:pt>
                <c:pt idx="52">
                  <c:v>372.59039999999999</c:v>
                </c:pt>
                <c:pt idx="53">
                  <c:v>321.17520000000002</c:v>
                </c:pt>
                <c:pt idx="54">
                  <c:v>279.07440000000003</c:v>
                </c:pt>
                <c:pt idx="55">
                  <c:v>245.96879999999999</c:v>
                </c:pt>
                <c:pt idx="56">
                  <c:v>218.39880000000002</c:v>
                </c:pt>
                <c:pt idx="57">
                  <c:v>190.86120000000003</c:v>
                </c:pt>
                <c:pt idx="58">
                  <c:v>149.57160000000002</c:v>
                </c:pt>
                <c:pt idx="59">
                  <c:v>117.33960000000002</c:v>
                </c:pt>
                <c:pt idx="60">
                  <c:v>93.138000000000005</c:v>
                </c:pt>
                <c:pt idx="61">
                  <c:v>83.920800000000014</c:v>
                </c:pt>
                <c:pt idx="62">
                  <c:v>71.052000000000007</c:v>
                </c:pt>
                <c:pt idx="63">
                  <c:v>30.841200000000001</c:v>
                </c:pt>
                <c:pt idx="64">
                  <c:v>5.9963999999999995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4F-8E4D-85F3-3B0895C4F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499840"/>
        <c:axId val="957516144"/>
      </c:scatterChart>
      <c:valAx>
        <c:axId val="9574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7516144"/>
        <c:crosses val="autoZero"/>
        <c:crossBetween val="midCat"/>
      </c:valAx>
      <c:valAx>
        <c:axId val="9575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749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單位歷線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大漢溪!$E$2:$E$54</c:f>
              <c:numCache>
                <c:formatCode>General</c:formatCode>
                <c:ptCount val="53"/>
                <c:pt idx="0">
                  <c:v>1.3</c:v>
                </c:pt>
                <c:pt idx="1">
                  <c:v>4.8099999999999996</c:v>
                </c:pt>
                <c:pt idx="2">
                  <c:v>10.74</c:v>
                </c:pt>
                <c:pt idx="3">
                  <c:v>26.22</c:v>
                </c:pt>
                <c:pt idx="4">
                  <c:v>52.97</c:v>
                </c:pt>
                <c:pt idx="5">
                  <c:v>106.85</c:v>
                </c:pt>
                <c:pt idx="6">
                  <c:v>166.69</c:v>
                </c:pt>
                <c:pt idx="7">
                  <c:v>204.78</c:v>
                </c:pt>
                <c:pt idx="8">
                  <c:v>242.78</c:v>
                </c:pt>
                <c:pt idx="9">
                  <c:v>244.16</c:v>
                </c:pt>
                <c:pt idx="10">
                  <c:v>231.37</c:v>
                </c:pt>
                <c:pt idx="11">
                  <c:v>204.95</c:v>
                </c:pt>
                <c:pt idx="12">
                  <c:v>185.06</c:v>
                </c:pt>
                <c:pt idx="13">
                  <c:v>170.07</c:v>
                </c:pt>
                <c:pt idx="14">
                  <c:v>155.88999999999999</c:v>
                </c:pt>
                <c:pt idx="15">
                  <c:v>142.12</c:v>
                </c:pt>
                <c:pt idx="16">
                  <c:v>128.84</c:v>
                </c:pt>
                <c:pt idx="17">
                  <c:v>116.12</c:v>
                </c:pt>
                <c:pt idx="18">
                  <c:v>104.05</c:v>
                </c:pt>
                <c:pt idx="19">
                  <c:v>92.7</c:v>
                </c:pt>
                <c:pt idx="20">
                  <c:v>82.15</c:v>
                </c:pt>
                <c:pt idx="21">
                  <c:v>72.489999999999995</c:v>
                </c:pt>
                <c:pt idx="22">
                  <c:v>63.79</c:v>
                </c:pt>
                <c:pt idx="23">
                  <c:v>56.13</c:v>
                </c:pt>
                <c:pt idx="24">
                  <c:v>49.6</c:v>
                </c:pt>
                <c:pt idx="25">
                  <c:v>44.26</c:v>
                </c:pt>
                <c:pt idx="26">
                  <c:v>40.15</c:v>
                </c:pt>
                <c:pt idx="27">
                  <c:v>36.51</c:v>
                </c:pt>
                <c:pt idx="28">
                  <c:v>33.1</c:v>
                </c:pt>
                <c:pt idx="29">
                  <c:v>29.91</c:v>
                </c:pt>
                <c:pt idx="30">
                  <c:v>26.95</c:v>
                </c:pt>
                <c:pt idx="31">
                  <c:v>24.2</c:v>
                </c:pt>
                <c:pt idx="32">
                  <c:v>21.68</c:v>
                </c:pt>
                <c:pt idx="33">
                  <c:v>19.38</c:v>
                </c:pt>
                <c:pt idx="34">
                  <c:v>17.3</c:v>
                </c:pt>
                <c:pt idx="35">
                  <c:v>15.43</c:v>
                </c:pt>
                <c:pt idx="36">
                  <c:v>13.78</c:v>
                </c:pt>
                <c:pt idx="37">
                  <c:v>12.34</c:v>
                </c:pt>
                <c:pt idx="38">
                  <c:v>11.12</c:v>
                </c:pt>
                <c:pt idx="39">
                  <c:v>10.1</c:v>
                </c:pt>
                <c:pt idx="40">
                  <c:v>9.2100000000000009</c:v>
                </c:pt>
                <c:pt idx="41">
                  <c:v>8.34</c:v>
                </c:pt>
                <c:pt idx="42">
                  <c:v>7.51</c:v>
                </c:pt>
                <c:pt idx="43">
                  <c:v>6.72</c:v>
                </c:pt>
                <c:pt idx="44">
                  <c:v>5.97</c:v>
                </c:pt>
                <c:pt idx="45">
                  <c:v>5.28</c:v>
                </c:pt>
                <c:pt idx="46">
                  <c:v>4.66</c:v>
                </c:pt>
                <c:pt idx="47">
                  <c:v>4.0999999999999996</c:v>
                </c:pt>
                <c:pt idx="48">
                  <c:v>3.63</c:v>
                </c:pt>
                <c:pt idx="49">
                  <c:v>3.23</c:v>
                </c:pt>
                <c:pt idx="50">
                  <c:v>2.93</c:v>
                </c:pt>
                <c:pt idx="51">
                  <c:v>2.73</c:v>
                </c:pt>
                <c:pt idx="52">
                  <c:v>2.63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91-8046-ABD3-45B2EE4F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46688"/>
        <c:axId val="961899840"/>
      </c:scatterChart>
      <c:valAx>
        <c:axId val="96244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1899840"/>
        <c:crosses val="autoZero"/>
        <c:crossBetween val="midCat"/>
      </c:valAx>
      <c:valAx>
        <c:axId val="9618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244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120650</xdr:colOff>
      <xdr:row>2</xdr:row>
      <xdr:rowOff>50800</xdr:rowOff>
    </xdr:from>
    <xdr:to>
      <xdr:col>15</xdr:col>
      <xdr:colOff>565150</xdr:colOff>
      <xdr:row>16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E68771-C205-5E99-6F09-D2340EC1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245533</xdr:colOff>
      <xdr:row>17</xdr:row>
      <xdr:rowOff>93133</xdr:rowOff>
    </xdr:from>
    <xdr:to>
      <xdr:col>15</xdr:col>
      <xdr:colOff>668866</xdr:colOff>
      <xdr:row>32</xdr:row>
      <xdr:rowOff>42333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3A4463F-2649-976A-DB66-041F12867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107950</xdr:rowOff>
    </xdr:from>
    <xdr:to>
      <xdr:col>15</xdr:col>
      <xdr:colOff>501650</xdr:colOff>
      <xdr:row>15</xdr:row>
      <xdr:rowOff>184150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977122E-2E3D-8D29-BC24-5B5580AD3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16</xdr:row>
      <xdr:rowOff>139700</xdr:rowOff>
    </xdr:from>
    <xdr:to>
      <xdr:col>15</xdr:col>
      <xdr:colOff>501650</xdr:colOff>
      <xdr:row>31</xdr:row>
      <xdr:rowOff>25400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82C6ACE-B067-F632-DFD2-B5C06ED5F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93A8-0FA6-FB45-9D9D-639415197DC0}">
  <dimension ref="A1:I70"/>
  <sheetViews>
    <sheetView zoomScale="75" workbookViewId="0">
      <selection activeCell="T26" sqref="T26"/>
    </sheetView>
  </sheetViews>
  <sheetFormatPr baseColWidth="10" defaultRowHeight="15"/>
  <cols>
    <col min="1" max="1" width="13" style="2" bestFit="1" customWidth="1"/>
    <col min="9" max="9" width="17" bestFit="1" customWidth="1"/>
  </cols>
  <sheetData>
    <row r="1" spans="1:9">
      <c r="A1" s="2" t="s">
        <v>0</v>
      </c>
      <c r="E1" t="s">
        <v>1</v>
      </c>
      <c r="F1" t="s">
        <v>4</v>
      </c>
    </row>
    <row r="2" spans="1:9">
      <c r="A2" s="2">
        <v>24</v>
      </c>
      <c r="B2">
        <v>38</v>
      </c>
      <c r="C2" s="1">
        <v>37151</v>
      </c>
      <c r="D2">
        <v>1</v>
      </c>
      <c r="E2">
        <v>9.7100000000000009</v>
      </c>
      <c r="F2">
        <v>0.1</v>
      </c>
      <c r="G2">
        <v>368.98</v>
      </c>
      <c r="H2">
        <f>F2*G2</f>
        <v>36.898000000000003</v>
      </c>
      <c r="I2" s="3">
        <f>H2*1.2</f>
        <v>44.2776</v>
      </c>
    </row>
    <row r="3" spans="1:9">
      <c r="A3" s="2">
        <v>1</v>
      </c>
      <c r="B3">
        <v>11</v>
      </c>
      <c r="D3">
        <v>2</v>
      </c>
      <c r="E3">
        <v>29.1</v>
      </c>
      <c r="F3">
        <v>0.1</v>
      </c>
      <c r="G3">
        <v>1212.6099999999999</v>
      </c>
      <c r="H3">
        <f t="shared" ref="H3:H66" si="0">F3*G3</f>
        <v>121.261</v>
      </c>
      <c r="I3" s="3">
        <f t="shared" ref="I3:I66" si="1">H3*1.2</f>
        <v>145.51319999999998</v>
      </c>
    </row>
    <row r="4" spans="1:9">
      <c r="A4" s="2">
        <v>2</v>
      </c>
      <c r="B4">
        <v>4</v>
      </c>
      <c r="D4">
        <v>3</v>
      </c>
      <c r="E4">
        <v>65.180000000000007</v>
      </c>
      <c r="F4">
        <v>0.1</v>
      </c>
      <c r="G4">
        <v>2835.78</v>
      </c>
      <c r="H4">
        <f t="shared" si="0"/>
        <v>283.57800000000003</v>
      </c>
      <c r="I4" s="3">
        <f t="shared" si="1"/>
        <v>340.29360000000003</v>
      </c>
    </row>
    <row r="5" spans="1:9">
      <c r="A5" s="2">
        <v>3</v>
      </c>
      <c r="B5">
        <v>11</v>
      </c>
      <c r="D5">
        <v>4</v>
      </c>
      <c r="E5">
        <v>137.55000000000001</v>
      </c>
      <c r="F5">
        <v>0.1</v>
      </c>
      <c r="G5">
        <v>6167.09</v>
      </c>
      <c r="H5">
        <f t="shared" si="0"/>
        <v>616.70900000000006</v>
      </c>
      <c r="I5" s="3">
        <f t="shared" si="1"/>
        <v>740.05080000000009</v>
      </c>
    </row>
    <row r="6" spans="1:9">
      <c r="A6" s="2">
        <v>4</v>
      </c>
      <c r="B6">
        <v>10</v>
      </c>
      <c r="D6">
        <v>5</v>
      </c>
      <c r="E6">
        <v>294.29000000000002</v>
      </c>
      <c r="F6">
        <v>0.1</v>
      </c>
      <c r="G6">
        <v>13374</v>
      </c>
      <c r="H6">
        <f t="shared" si="0"/>
        <v>1337.4</v>
      </c>
      <c r="I6" s="3">
        <f t="shared" si="1"/>
        <v>1604.88</v>
      </c>
    </row>
    <row r="7" spans="1:9">
      <c r="A7" s="2">
        <v>5</v>
      </c>
      <c r="B7">
        <v>31</v>
      </c>
      <c r="D7">
        <v>6</v>
      </c>
      <c r="E7">
        <v>358.44</v>
      </c>
      <c r="F7">
        <v>0.1</v>
      </c>
      <c r="G7">
        <v>18717.099999999999</v>
      </c>
      <c r="H7">
        <f t="shared" si="0"/>
        <v>1871.71</v>
      </c>
      <c r="I7" s="3">
        <f t="shared" si="1"/>
        <v>2246.0520000000001</v>
      </c>
    </row>
    <row r="8" spans="1:9">
      <c r="A8" s="2">
        <v>6</v>
      </c>
      <c r="B8">
        <v>65</v>
      </c>
      <c r="D8">
        <v>7</v>
      </c>
      <c r="E8">
        <v>306.29000000000002</v>
      </c>
      <c r="F8">
        <v>0.1</v>
      </c>
      <c r="G8">
        <v>20457.099999999999</v>
      </c>
      <c r="H8">
        <f t="shared" si="0"/>
        <v>2045.71</v>
      </c>
      <c r="I8" s="3">
        <f t="shared" si="1"/>
        <v>2454.8519999999999</v>
      </c>
    </row>
    <row r="9" spans="1:9">
      <c r="A9" s="2">
        <v>7</v>
      </c>
      <c r="B9">
        <v>31</v>
      </c>
      <c r="D9">
        <v>8</v>
      </c>
      <c r="E9">
        <v>253.94</v>
      </c>
      <c r="F9">
        <v>0.1</v>
      </c>
      <c r="G9">
        <v>23278.400000000001</v>
      </c>
      <c r="H9">
        <f t="shared" si="0"/>
        <v>2327.84</v>
      </c>
      <c r="I9" s="3">
        <f t="shared" si="1"/>
        <v>2793.4079999999999</v>
      </c>
    </row>
    <row r="10" spans="1:9">
      <c r="A10" s="2">
        <v>8</v>
      </c>
      <c r="B10">
        <v>45</v>
      </c>
      <c r="D10">
        <v>9</v>
      </c>
      <c r="E10">
        <v>196.64</v>
      </c>
      <c r="F10">
        <v>0.1</v>
      </c>
      <c r="G10">
        <v>28216.400000000001</v>
      </c>
      <c r="H10">
        <f t="shared" si="0"/>
        <v>2821.6400000000003</v>
      </c>
      <c r="I10" s="3">
        <f t="shared" si="1"/>
        <v>3385.9680000000003</v>
      </c>
    </row>
    <row r="11" spans="1:9">
      <c r="A11" s="2">
        <v>9</v>
      </c>
      <c r="B11">
        <v>63</v>
      </c>
      <c r="D11">
        <v>10</v>
      </c>
      <c r="E11">
        <v>160.22</v>
      </c>
      <c r="F11">
        <v>0.1</v>
      </c>
      <c r="G11">
        <v>38226.300000000003</v>
      </c>
      <c r="H11">
        <f t="shared" si="0"/>
        <v>3822.6300000000006</v>
      </c>
      <c r="I11" s="3">
        <f t="shared" si="1"/>
        <v>4587.1560000000009</v>
      </c>
    </row>
    <row r="12" spans="1:9">
      <c r="A12" s="2">
        <v>10</v>
      </c>
      <c r="B12">
        <v>91</v>
      </c>
      <c r="D12">
        <v>11</v>
      </c>
      <c r="E12">
        <v>135.75</v>
      </c>
      <c r="F12">
        <v>0.1</v>
      </c>
      <c r="G12">
        <v>53718.3</v>
      </c>
      <c r="H12">
        <f t="shared" si="0"/>
        <v>5371.8300000000008</v>
      </c>
      <c r="I12" s="3">
        <f t="shared" si="1"/>
        <v>6446.1960000000008</v>
      </c>
    </row>
    <row r="13" spans="1:9">
      <c r="A13" s="2">
        <v>11</v>
      </c>
      <c r="B13">
        <v>72</v>
      </c>
      <c r="D13">
        <v>12</v>
      </c>
      <c r="E13">
        <v>113.66</v>
      </c>
      <c r="F13">
        <v>0.1</v>
      </c>
      <c r="G13">
        <v>66715.5</v>
      </c>
      <c r="H13">
        <f t="shared" si="0"/>
        <v>6671.55</v>
      </c>
      <c r="I13" s="3">
        <f t="shared" si="1"/>
        <v>8005.86</v>
      </c>
    </row>
    <row r="14" spans="1:9">
      <c r="A14" s="2">
        <v>12</v>
      </c>
      <c r="B14">
        <v>1</v>
      </c>
      <c r="D14">
        <v>13</v>
      </c>
      <c r="E14">
        <v>91.29</v>
      </c>
      <c r="F14">
        <v>0.1</v>
      </c>
      <c r="G14">
        <v>77828.7</v>
      </c>
      <c r="H14">
        <f t="shared" si="0"/>
        <v>7782.87</v>
      </c>
      <c r="I14" s="3">
        <f t="shared" si="1"/>
        <v>9339.4439999999995</v>
      </c>
    </row>
    <row r="15" spans="1:9">
      <c r="A15" s="2">
        <v>13</v>
      </c>
      <c r="B15">
        <v>0</v>
      </c>
      <c r="D15">
        <v>14</v>
      </c>
      <c r="E15">
        <v>73.510000000000005</v>
      </c>
      <c r="F15">
        <v>0.1</v>
      </c>
      <c r="G15">
        <v>91353.8</v>
      </c>
      <c r="H15">
        <f t="shared" si="0"/>
        <v>9135.380000000001</v>
      </c>
      <c r="I15" s="3">
        <f t="shared" si="1"/>
        <v>10962.456</v>
      </c>
    </row>
    <row r="16" spans="1:9">
      <c r="A16" s="2">
        <v>14</v>
      </c>
      <c r="B16">
        <v>0</v>
      </c>
      <c r="D16">
        <v>15</v>
      </c>
      <c r="E16">
        <v>59.6</v>
      </c>
      <c r="F16">
        <v>0.1</v>
      </c>
      <c r="G16">
        <v>104781</v>
      </c>
      <c r="H16">
        <f t="shared" si="0"/>
        <v>10478.1</v>
      </c>
      <c r="I16" s="3">
        <f t="shared" si="1"/>
        <v>12573.72</v>
      </c>
    </row>
    <row r="17" spans="1:9">
      <c r="A17" s="2">
        <v>15</v>
      </c>
      <c r="B17">
        <v>0</v>
      </c>
      <c r="D17">
        <v>16</v>
      </c>
      <c r="E17">
        <v>46.22</v>
      </c>
      <c r="F17">
        <v>0.1</v>
      </c>
      <c r="G17">
        <v>110233</v>
      </c>
      <c r="H17">
        <f t="shared" si="0"/>
        <v>11023.300000000001</v>
      </c>
      <c r="I17" s="3">
        <f t="shared" si="1"/>
        <v>13227.960000000001</v>
      </c>
    </row>
    <row r="18" spans="1:9">
      <c r="A18" s="2">
        <v>16</v>
      </c>
      <c r="B18">
        <v>0</v>
      </c>
      <c r="D18">
        <v>17</v>
      </c>
      <c r="E18">
        <v>38.67</v>
      </c>
      <c r="F18">
        <v>0.1</v>
      </c>
      <c r="G18">
        <v>100073</v>
      </c>
      <c r="H18">
        <f t="shared" si="0"/>
        <v>10007.300000000001</v>
      </c>
      <c r="I18" s="3">
        <f t="shared" si="1"/>
        <v>12008.76</v>
      </c>
    </row>
    <row r="19" spans="1:9">
      <c r="A19" s="2">
        <v>17</v>
      </c>
      <c r="B19">
        <v>0</v>
      </c>
      <c r="D19">
        <v>18</v>
      </c>
      <c r="E19">
        <v>34.44</v>
      </c>
      <c r="F19">
        <v>0.1</v>
      </c>
      <c r="G19">
        <v>82853.899999999994</v>
      </c>
      <c r="H19">
        <f t="shared" si="0"/>
        <v>8285.39</v>
      </c>
      <c r="I19" s="3">
        <f t="shared" si="1"/>
        <v>9942.4679999999989</v>
      </c>
    </row>
    <row r="20" spans="1:9">
      <c r="A20" s="2">
        <v>18</v>
      </c>
      <c r="B20">
        <v>0</v>
      </c>
      <c r="D20">
        <v>19</v>
      </c>
      <c r="E20">
        <v>30.18</v>
      </c>
      <c r="F20">
        <v>0.1</v>
      </c>
      <c r="G20">
        <v>67207.7</v>
      </c>
      <c r="H20">
        <f t="shared" si="0"/>
        <v>6720.77</v>
      </c>
      <c r="I20" s="3">
        <f t="shared" si="1"/>
        <v>8064.924</v>
      </c>
    </row>
    <row r="21" spans="1:9">
      <c r="A21" s="2">
        <v>19</v>
      </c>
      <c r="B21">
        <v>3</v>
      </c>
      <c r="D21">
        <v>20</v>
      </c>
      <c r="E21">
        <v>25.99</v>
      </c>
      <c r="F21">
        <v>0.1</v>
      </c>
      <c r="G21">
        <v>54488.800000000003</v>
      </c>
      <c r="H21">
        <f t="shared" si="0"/>
        <v>5448.880000000001</v>
      </c>
      <c r="I21" s="3">
        <f t="shared" si="1"/>
        <v>6538.6560000000009</v>
      </c>
    </row>
    <row r="22" spans="1:9">
      <c r="A22" s="2">
        <v>20</v>
      </c>
      <c r="B22">
        <v>2</v>
      </c>
      <c r="D22">
        <v>21</v>
      </c>
      <c r="E22">
        <v>21.96</v>
      </c>
      <c r="F22">
        <v>0.1</v>
      </c>
      <c r="G22">
        <v>45053.3</v>
      </c>
      <c r="H22">
        <f t="shared" si="0"/>
        <v>4505.3300000000008</v>
      </c>
      <c r="I22" s="3">
        <f t="shared" si="1"/>
        <v>5406.3960000000006</v>
      </c>
    </row>
    <row r="23" spans="1:9">
      <c r="A23" s="2">
        <v>21</v>
      </c>
      <c r="B23">
        <v>2</v>
      </c>
      <c r="D23">
        <v>22</v>
      </c>
      <c r="E23">
        <v>18.190000000000001</v>
      </c>
      <c r="F23">
        <v>0.1</v>
      </c>
      <c r="G23">
        <v>37373.4</v>
      </c>
      <c r="H23">
        <f t="shared" si="0"/>
        <v>3737.34</v>
      </c>
      <c r="I23" s="3">
        <f t="shared" si="1"/>
        <v>4484.808</v>
      </c>
    </row>
    <row r="24" spans="1:9">
      <c r="A24" s="2">
        <v>22</v>
      </c>
      <c r="B24">
        <v>1</v>
      </c>
      <c r="D24">
        <v>23</v>
      </c>
      <c r="E24">
        <v>14.76</v>
      </c>
      <c r="F24">
        <v>0.1</v>
      </c>
      <c r="G24">
        <v>31001.200000000001</v>
      </c>
      <c r="H24">
        <f t="shared" si="0"/>
        <v>3100.1200000000003</v>
      </c>
      <c r="I24" s="3">
        <f t="shared" si="1"/>
        <v>3720.1440000000002</v>
      </c>
    </row>
    <row r="25" spans="1:9">
      <c r="A25" s="2">
        <v>23</v>
      </c>
      <c r="B25">
        <v>6</v>
      </c>
      <c r="D25">
        <v>24</v>
      </c>
      <c r="E25">
        <v>11.78</v>
      </c>
      <c r="F25">
        <v>0.1</v>
      </c>
      <c r="G25">
        <v>26143.5</v>
      </c>
      <c r="H25">
        <f t="shared" si="0"/>
        <v>2614.3500000000004</v>
      </c>
      <c r="I25" s="3">
        <f t="shared" si="1"/>
        <v>3137.2200000000003</v>
      </c>
    </row>
    <row r="26" spans="1:9">
      <c r="A26" s="2">
        <v>24</v>
      </c>
      <c r="B26">
        <v>19</v>
      </c>
      <c r="C26" s="1">
        <v>37152</v>
      </c>
      <c r="D26">
        <v>25</v>
      </c>
      <c r="E26">
        <v>9.32</v>
      </c>
      <c r="F26">
        <v>0.1</v>
      </c>
      <c r="G26">
        <v>22620.400000000001</v>
      </c>
      <c r="H26">
        <f t="shared" si="0"/>
        <v>2262.0400000000004</v>
      </c>
      <c r="I26" s="3">
        <f t="shared" si="1"/>
        <v>2714.4480000000003</v>
      </c>
    </row>
    <row r="27" spans="1:9">
      <c r="D27">
        <v>26</v>
      </c>
      <c r="E27">
        <v>7.5</v>
      </c>
      <c r="F27">
        <v>0.1</v>
      </c>
      <c r="G27">
        <v>19947.2</v>
      </c>
      <c r="H27">
        <f t="shared" si="0"/>
        <v>1994.7200000000003</v>
      </c>
      <c r="I27" s="3">
        <f t="shared" si="1"/>
        <v>2393.6640000000002</v>
      </c>
    </row>
    <row r="28" spans="1:9">
      <c r="D28">
        <v>27</v>
      </c>
      <c r="E28">
        <v>6.32</v>
      </c>
      <c r="F28">
        <v>0.1</v>
      </c>
      <c r="G28">
        <v>18317.599999999999</v>
      </c>
      <c r="H28">
        <f t="shared" si="0"/>
        <v>1831.76</v>
      </c>
      <c r="I28" s="3">
        <f t="shared" si="1"/>
        <v>2198.1120000000001</v>
      </c>
    </row>
    <row r="29" spans="1:9">
      <c r="D29">
        <v>28</v>
      </c>
      <c r="E29">
        <v>5.32</v>
      </c>
      <c r="F29">
        <v>0.1</v>
      </c>
      <c r="G29">
        <v>18326.099999999999</v>
      </c>
      <c r="H29">
        <f t="shared" si="0"/>
        <v>1832.61</v>
      </c>
      <c r="I29" s="3">
        <f t="shared" si="1"/>
        <v>2199.1319999999996</v>
      </c>
    </row>
    <row r="30" spans="1:9">
      <c r="D30">
        <v>29</v>
      </c>
      <c r="E30">
        <v>4.3899999999999997</v>
      </c>
      <c r="F30">
        <v>0.1</v>
      </c>
      <c r="G30">
        <v>19635.3</v>
      </c>
      <c r="H30">
        <f t="shared" si="0"/>
        <v>1963.53</v>
      </c>
      <c r="I30" s="3">
        <f t="shared" si="1"/>
        <v>2356.2359999999999</v>
      </c>
    </row>
    <row r="31" spans="1:9">
      <c r="D31">
        <v>30</v>
      </c>
      <c r="E31">
        <v>3.55</v>
      </c>
      <c r="F31">
        <v>0.1</v>
      </c>
      <c r="G31">
        <v>18658.7</v>
      </c>
      <c r="H31">
        <f t="shared" si="0"/>
        <v>1865.8700000000001</v>
      </c>
      <c r="I31" s="3">
        <f t="shared" si="1"/>
        <v>2239.0439999999999</v>
      </c>
    </row>
    <row r="32" spans="1:9">
      <c r="D32">
        <v>31</v>
      </c>
      <c r="E32">
        <v>2.81</v>
      </c>
      <c r="F32">
        <v>0.1</v>
      </c>
      <c r="G32">
        <v>15671.3</v>
      </c>
      <c r="H32">
        <f t="shared" si="0"/>
        <v>1567.13</v>
      </c>
      <c r="I32" s="3">
        <f t="shared" si="1"/>
        <v>1880.556</v>
      </c>
    </row>
    <row r="33" spans="4:9">
      <c r="D33">
        <v>32</v>
      </c>
      <c r="E33">
        <v>2.19</v>
      </c>
      <c r="F33">
        <v>0.1</v>
      </c>
      <c r="G33">
        <v>12862.2</v>
      </c>
      <c r="H33">
        <f t="shared" si="0"/>
        <v>1286.2200000000003</v>
      </c>
      <c r="I33" s="3">
        <f t="shared" si="1"/>
        <v>1543.4640000000002</v>
      </c>
    </row>
    <row r="34" spans="4:9">
      <c r="D34">
        <v>33</v>
      </c>
      <c r="E34">
        <v>1.71</v>
      </c>
      <c r="F34">
        <v>0.1</v>
      </c>
      <c r="G34">
        <v>10291.5</v>
      </c>
      <c r="H34">
        <f t="shared" si="0"/>
        <v>1029.1500000000001</v>
      </c>
      <c r="I34" s="3">
        <f t="shared" si="1"/>
        <v>1234.98</v>
      </c>
    </row>
    <row r="35" spans="4:9">
      <c r="D35">
        <v>34</v>
      </c>
      <c r="E35">
        <v>1.37</v>
      </c>
      <c r="F35">
        <v>0.1</v>
      </c>
      <c r="G35">
        <v>8382.14</v>
      </c>
      <c r="H35">
        <f t="shared" si="0"/>
        <v>838.21399999999994</v>
      </c>
      <c r="I35" s="3">
        <f t="shared" si="1"/>
        <v>1005.8567999999999</v>
      </c>
    </row>
    <row r="36" spans="4:9">
      <c r="D36">
        <v>35</v>
      </c>
      <c r="E36">
        <v>1.21</v>
      </c>
      <c r="F36">
        <v>0.1</v>
      </c>
      <c r="G36">
        <v>6905.72</v>
      </c>
      <c r="H36">
        <f t="shared" si="0"/>
        <v>690.57200000000012</v>
      </c>
      <c r="I36" s="3">
        <f t="shared" si="1"/>
        <v>828.68640000000016</v>
      </c>
    </row>
    <row r="37" spans="4:9">
      <c r="D37">
        <v>36</v>
      </c>
      <c r="F37">
        <v>0.1</v>
      </c>
      <c r="G37">
        <v>5624.77</v>
      </c>
      <c r="H37">
        <f t="shared" si="0"/>
        <v>562.47700000000009</v>
      </c>
      <c r="I37" s="3">
        <f t="shared" si="1"/>
        <v>674.97240000000011</v>
      </c>
    </row>
    <row r="38" spans="4:9">
      <c r="D38">
        <v>37</v>
      </c>
      <c r="F38">
        <v>0.1</v>
      </c>
      <c r="G38">
        <v>4563.0200000000004</v>
      </c>
      <c r="H38">
        <f t="shared" si="0"/>
        <v>456.30200000000008</v>
      </c>
      <c r="I38" s="3">
        <f t="shared" si="1"/>
        <v>547.56240000000003</v>
      </c>
    </row>
    <row r="39" spans="4:9">
      <c r="D39">
        <v>38</v>
      </c>
      <c r="F39">
        <v>0.1</v>
      </c>
      <c r="G39">
        <v>3729.73</v>
      </c>
      <c r="H39">
        <f t="shared" si="0"/>
        <v>372.97300000000001</v>
      </c>
      <c r="I39" s="3">
        <f t="shared" si="1"/>
        <v>447.56760000000003</v>
      </c>
    </row>
    <row r="40" spans="4:9">
      <c r="D40">
        <v>39</v>
      </c>
      <c r="F40">
        <v>0.1</v>
      </c>
      <c r="G40">
        <v>3028.16</v>
      </c>
      <c r="H40">
        <f t="shared" si="0"/>
        <v>302.81599999999997</v>
      </c>
      <c r="I40" s="3">
        <f t="shared" si="1"/>
        <v>363.37919999999997</v>
      </c>
    </row>
    <row r="41" spans="4:9">
      <c r="D41">
        <v>40</v>
      </c>
      <c r="F41">
        <v>0.1</v>
      </c>
      <c r="G41">
        <v>2422.46</v>
      </c>
      <c r="H41">
        <f t="shared" si="0"/>
        <v>242.24600000000001</v>
      </c>
      <c r="I41" s="3">
        <f t="shared" si="1"/>
        <v>290.6952</v>
      </c>
    </row>
    <row r="42" spans="4:9">
      <c r="D42">
        <v>41</v>
      </c>
      <c r="F42">
        <v>0.1</v>
      </c>
      <c r="G42">
        <v>1973.76</v>
      </c>
      <c r="H42">
        <f t="shared" si="0"/>
        <v>197.376</v>
      </c>
      <c r="I42" s="3">
        <f t="shared" si="1"/>
        <v>236.85120000000001</v>
      </c>
    </row>
    <row r="43" spans="4:9">
      <c r="D43">
        <v>42</v>
      </c>
      <c r="F43">
        <v>0.1</v>
      </c>
      <c r="G43">
        <v>1598.06</v>
      </c>
      <c r="H43">
        <f t="shared" si="0"/>
        <v>159.80600000000001</v>
      </c>
      <c r="I43" s="3">
        <f t="shared" si="1"/>
        <v>191.7672</v>
      </c>
    </row>
    <row r="44" spans="4:9">
      <c r="D44">
        <v>43</v>
      </c>
      <c r="F44">
        <v>0.1</v>
      </c>
      <c r="G44">
        <v>1309.42</v>
      </c>
      <c r="H44">
        <f t="shared" si="0"/>
        <v>130.94200000000001</v>
      </c>
      <c r="I44" s="3">
        <f t="shared" si="1"/>
        <v>157.13040000000001</v>
      </c>
    </row>
    <row r="45" spans="4:9">
      <c r="D45">
        <v>44</v>
      </c>
      <c r="F45">
        <v>0.1</v>
      </c>
      <c r="G45">
        <v>1051.01</v>
      </c>
      <c r="H45">
        <f t="shared" si="0"/>
        <v>105.101</v>
      </c>
      <c r="I45" s="3">
        <f t="shared" si="1"/>
        <v>126.12119999999999</v>
      </c>
    </row>
    <row r="46" spans="4:9">
      <c r="D46">
        <v>45</v>
      </c>
      <c r="F46">
        <v>0.1</v>
      </c>
      <c r="G46">
        <v>816.3</v>
      </c>
      <c r="H46">
        <f t="shared" si="0"/>
        <v>81.63</v>
      </c>
      <c r="I46" s="3">
        <f t="shared" si="1"/>
        <v>97.955999999999989</v>
      </c>
    </row>
    <row r="47" spans="4:9">
      <c r="D47">
        <v>46</v>
      </c>
      <c r="F47">
        <v>0.1</v>
      </c>
      <c r="G47">
        <v>587.04</v>
      </c>
      <c r="H47">
        <f t="shared" si="0"/>
        <v>58.704000000000001</v>
      </c>
      <c r="I47" s="3">
        <f t="shared" si="1"/>
        <v>70.444800000000001</v>
      </c>
    </row>
    <row r="48" spans="4:9">
      <c r="D48">
        <v>47</v>
      </c>
      <c r="F48">
        <v>0.1</v>
      </c>
      <c r="G48">
        <v>405.25</v>
      </c>
      <c r="H48">
        <f t="shared" si="0"/>
        <v>40.525000000000006</v>
      </c>
      <c r="I48" s="3">
        <f t="shared" si="1"/>
        <v>48.63</v>
      </c>
    </row>
    <row r="49" spans="4:9">
      <c r="D49">
        <v>48</v>
      </c>
      <c r="F49">
        <v>0.1</v>
      </c>
      <c r="G49">
        <v>323.69</v>
      </c>
      <c r="H49">
        <f t="shared" si="0"/>
        <v>32.369</v>
      </c>
      <c r="I49" s="3">
        <f t="shared" si="1"/>
        <v>38.842799999999997</v>
      </c>
    </row>
    <row r="50" spans="4:9">
      <c r="D50">
        <v>49</v>
      </c>
      <c r="F50">
        <v>0.1</v>
      </c>
      <c r="G50">
        <v>258.47000000000003</v>
      </c>
      <c r="H50">
        <f t="shared" si="0"/>
        <v>25.847000000000005</v>
      </c>
      <c r="I50" s="3">
        <f t="shared" si="1"/>
        <v>31.016400000000004</v>
      </c>
    </row>
    <row r="51" spans="4:9">
      <c r="D51">
        <v>50</v>
      </c>
      <c r="F51">
        <v>0.1</v>
      </c>
      <c r="G51">
        <v>210.05</v>
      </c>
      <c r="H51">
        <f t="shared" si="0"/>
        <v>21.005000000000003</v>
      </c>
      <c r="I51" s="3">
        <f t="shared" si="1"/>
        <v>25.206000000000003</v>
      </c>
    </row>
    <row r="52" spans="4:9">
      <c r="D52">
        <v>51</v>
      </c>
      <c r="F52">
        <v>0.1</v>
      </c>
      <c r="G52">
        <v>175.68</v>
      </c>
      <c r="H52">
        <f t="shared" si="0"/>
        <v>17.568000000000001</v>
      </c>
      <c r="I52" s="3">
        <f t="shared" si="1"/>
        <v>21.081600000000002</v>
      </c>
    </row>
    <row r="53" spans="4:9">
      <c r="D53">
        <v>52</v>
      </c>
      <c r="F53">
        <v>0.1</v>
      </c>
      <c r="G53">
        <v>146.1</v>
      </c>
      <c r="H53">
        <f t="shared" si="0"/>
        <v>14.61</v>
      </c>
      <c r="I53" s="3">
        <f t="shared" si="1"/>
        <v>17.532</v>
      </c>
    </row>
    <row r="54" spans="4:9">
      <c r="D54">
        <v>53</v>
      </c>
      <c r="F54">
        <v>0.1</v>
      </c>
      <c r="G54">
        <v>119.43</v>
      </c>
      <c r="H54">
        <f t="shared" si="0"/>
        <v>11.943000000000001</v>
      </c>
      <c r="I54" s="3">
        <f t="shared" si="1"/>
        <v>14.331600000000002</v>
      </c>
    </row>
    <row r="55" spans="4:9">
      <c r="D55">
        <v>54</v>
      </c>
      <c r="F55">
        <v>0.1</v>
      </c>
      <c r="G55">
        <v>96.29</v>
      </c>
      <c r="H55">
        <f t="shared" si="0"/>
        <v>9.6290000000000013</v>
      </c>
      <c r="I55" s="3">
        <f t="shared" si="1"/>
        <v>11.554800000000002</v>
      </c>
    </row>
    <row r="56" spans="4:9">
      <c r="D56">
        <v>55</v>
      </c>
      <c r="F56">
        <v>0.1</v>
      </c>
      <c r="G56">
        <v>73.400000000000006</v>
      </c>
      <c r="H56">
        <f t="shared" si="0"/>
        <v>7.3400000000000007</v>
      </c>
      <c r="I56" s="3">
        <f t="shared" si="1"/>
        <v>8.8079999999999998</v>
      </c>
    </row>
    <row r="57" spans="4:9">
      <c r="D57">
        <v>56</v>
      </c>
      <c r="F57">
        <v>0.1</v>
      </c>
      <c r="G57">
        <v>55.66</v>
      </c>
      <c r="H57">
        <f t="shared" si="0"/>
        <v>5.5659999999999998</v>
      </c>
      <c r="I57" s="3">
        <f t="shared" si="1"/>
        <v>6.6791999999999998</v>
      </c>
    </row>
    <row r="58" spans="4:9">
      <c r="D58">
        <v>57</v>
      </c>
      <c r="F58">
        <v>0.1</v>
      </c>
      <c r="G58">
        <v>41.92</v>
      </c>
      <c r="H58">
        <f t="shared" si="0"/>
        <v>4.1920000000000002</v>
      </c>
      <c r="I58" s="3">
        <f t="shared" si="1"/>
        <v>5.0304000000000002</v>
      </c>
    </row>
    <row r="59" spans="4:9">
      <c r="D59">
        <v>58</v>
      </c>
      <c r="F59">
        <v>0.1</v>
      </c>
      <c r="G59">
        <v>33.29</v>
      </c>
      <c r="H59">
        <f t="shared" si="0"/>
        <v>3.3290000000000002</v>
      </c>
      <c r="I59" s="3">
        <f t="shared" si="1"/>
        <v>3.9948000000000001</v>
      </c>
    </row>
    <row r="60" spans="4:9">
      <c r="D60">
        <v>59</v>
      </c>
      <c r="H60">
        <f ca="1">SUM(H2:H60)</f>
        <v>3644.4634520000013</v>
      </c>
      <c r="I60">
        <f ca="1">SUM(I2:I60)</f>
        <v>4373.3561424000009</v>
      </c>
    </row>
    <row r="61" spans="4:9">
      <c r="D61" t="s">
        <v>5</v>
      </c>
      <c r="I61" s="3"/>
    </row>
    <row r="62" spans="4:9">
      <c r="I62" s="3"/>
    </row>
    <row r="63" spans="4:9">
      <c r="I63" s="3"/>
    </row>
    <row r="64" spans="4:9">
      <c r="I64" s="3"/>
    </row>
    <row r="65" spans="9:9">
      <c r="I65" s="3"/>
    </row>
    <row r="66" spans="9:9">
      <c r="I66" s="3"/>
    </row>
    <row r="67" spans="9:9">
      <c r="I67" s="3"/>
    </row>
    <row r="68" spans="9:9">
      <c r="I68" s="3"/>
    </row>
    <row r="69" spans="9:9">
      <c r="I69" s="3"/>
    </row>
    <row r="70" spans="9:9">
      <c r="I70" s="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CD97-17E9-7747-8D4D-7B83200704B1}">
  <dimension ref="A1:I67"/>
  <sheetViews>
    <sheetView tabSelected="1" workbookViewId="0">
      <selection activeCell="R12" sqref="R12"/>
    </sheetView>
  </sheetViews>
  <sheetFormatPr baseColWidth="10" defaultRowHeight="15"/>
  <sheetData>
    <row r="1" spans="1:9">
      <c r="A1" s="2" t="s">
        <v>3</v>
      </c>
      <c r="E1" t="s">
        <v>2</v>
      </c>
      <c r="F1" t="s">
        <v>4</v>
      </c>
    </row>
    <row r="2" spans="1:9">
      <c r="A2" s="2">
        <v>24</v>
      </c>
      <c r="B2">
        <v>21.5</v>
      </c>
      <c r="C2" s="1">
        <v>37151</v>
      </c>
      <c r="D2">
        <v>1</v>
      </c>
      <c r="E2">
        <v>1.3</v>
      </c>
      <c r="F2">
        <v>0.2</v>
      </c>
      <c r="G2">
        <v>27.95</v>
      </c>
      <c r="H2">
        <f>F2 *G2</f>
        <v>5.59</v>
      </c>
      <c r="I2">
        <f>1.2*H2</f>
        <v>6.7079999999999993</v>
      </c>
    </row>
    <row r="3" spans="1:9">
      <c r="A3" s="2">
        <v>1</v>
      </c>
      <c r="B3">
        <v>12.5</v>
      </c>
      <c r="D3">
        <v>2</v>
      </c>
      <c r="E3">
        <v>4.8099999999999996</v>
      </c>
      <c r="F3">
        <v>0.2</v>
      </c>
      <c r="G3">
        <v>119.66500000000001</v>
      </c>
      <c r="H3">
        <f t="shared" ref="H3:H66" si="0">F3 *G3</f>
        <v>23.933000000000003</v>
      </c>
      <c r="I3">
        <f t="shared" ref="I3:I66" si="1">1.2*H3</f>
        <v>28.719600000000003</v>
      </c>
    </row>
    <row r="4" spans="1:9">
      <c r="A4" s="2">
        <v>2</v>
      </c>
      <c r="B4">
        <v>4.5</v>
      </c>
      <c r="D4">
        <v>3</v>
      </c>
      <c r="E4">
        <v>10.74</v>
      </c>
      <c r="F4">
        <v>0.2</v>
      </c>
      <c r="G4">
        <v>296.88499999999999</v>
      </c>
      <c r="H4">
        <f t="shared" si="0"/>
        <v>59.377000000000002</v>
      </c>
      <c r="I4">
        <f t="shared" si="1"/>
        <v>71.252399999999994</v>
      </c>
    </row>
    <row r="5" spans="1:9">
      <c r="A5" s="2">
        <v>3</v>
      </c>
      <c r="B5">
        <v>2.5</v>
      </c>
      <c r="D5">
        <v>4</v>
      </c>
      <c r="E5">
        <v>26.22</v>
      </c>
      <c r="F5">
        <v>0.2</v>
      </c>
      <c r="G5">
        <v>722.875</v>
      </c>
      <c r="H5">
        <f t="shared" si="0"/>
        <v>144.57500000000002</v>
      </c>
      <c r="I5">
        <f t="shared" si="1"/>
        <v>173.49</v>
      </c>
    </row>
    <row r="6" spans="1:9">
      <c r="A6" s="2">
        <v>4</v>
      </c>
      <c r="B6">
        <v>9.5</v>
      </c>
      <c r="D6">
        <v>5</v>
      </c>
      <c r="E6">
        <v>52.97</v>
      </c>
      <c r="F6">
        <v>0.2</v>
      </c>
      <c r="G6">
        <v>1539.31</v>
      </c>
      <c r="H6">
        <f t="shared" si="0"/>
        <v>307.86200000000002</v>
      </c>
      <c r="I6">
        <f t="shared" si="1"/>
        <v>369.43440000000004</v>
      </c>
    </row>
    <row r="7" spans="1:9">
      <c r="A7" s="2">
        <v>5</v>
      </c>
      <c r="B7">
        <v>38.5</v>
      </c>
      <c r="D7">
        <v>6</v>
      </c>
      <c r="E7">
        <v>106.85</v>
      </c>
      <c r="F7">
        <v>0.2</v>
      </c>
      <c r="G7">
        <v>3199.99</v>
      </c>
      <c r="H7">
        <f t="shared" si="0"/>
        <v>639.99800000000005</v>
      </c>
      <c r="I7">
        <f t="shared" si="1"/>
        <v>767.99760000000003</v>
      </c>
    </row>
    <row r="8" spans="1:9">
      <c r="A8" s="2">
        <v>6</v>
      </c>
      <c r="B8">
        <v>30</v>
      </c>
      <c r="D8">
        <v>7</v>
      </c>
      <c r="E8">
        <v>166.69</v>
      </c>
      <c r="F8">
        <v>0.2</v>
      </c>
      <c r="G8">
        <v>5549.59</v>
      </c>
      <c r="H8">
        <f t="shared" si="0"/>
        <v>1109.9180000000001</v>
      </c>
      <c r="I8">
        <f t="shared" si="1"/>
        <v>1331.9016000000001</v>
      </c>
    </row>
    <row r="9" spans="1:9">
      <c r="A9" s="2">
        <v>7</v>
      </c>
      <c r="B9">
        <v>22.5</v>
      </c>
      <c r="D9">
        <v>8</v>
      </c>
      <c r="E9">
        <v>204.78</v>
      </c>
      <c r="F9">
        <v>0.2</v>
      </c>
      <c r="G9">
        <v>7935.77</v>
      </c>
      <c r="H9">
        <f t="shared" si="0"/>
        <v>1587.1540000000002</v>
      </c>
      <c r="I9">
        <f t="shared" si="1"/>
        <v>1904.5848000000001</v>
      </c>
    </row>
    <row r="10" spans="1:9">
      <c r="A10" s="2">
        <v>8</v>
      </c>
      <c r="B10">
        <v>3.5</v>
      </c>
      <c r="D10">
        <v>9</v>
      </c>
      <c r="E10">
        <v>242.78</v>
      </c>
      <c r="F10">
        <v>0.2</v>
      </c>
      <c r="G10">
        <v>10744.4</v>
      </c>
      <c r="H10">
        <f t="shared" si="0"/>
        <v>2148.88</v>
      </c>
      <c r="I10">
        <f t="shared" si="1"/>
        <v>2578.6559999999999</v>
      </c>
    </row>
    <row r="11" spans="1:9">
      <c r="A11" s="2">
        <v>9</v>
      </c>
      <c r="B11">
        <v>14</v>
      </c>
      <c r="D11">
        <v>10</v>
      </c>
      <c r="E11">
        <v>244.16</v>
      </c>
      <c r="F11">
        <v>0.2</v>
      </c>
      <c r="G11">
        <v>13740.1</v>
      </c>
      <c r="H11">
        <f t="shared" si="0"/>
        <v>2748.0200000000004</v>
      </c>
      <c r="I11">
        <f t="shared" si="1"/>
        <v>3297.6240000000003</v>
      </c>
    </row>
    <row r="12" spans="1:9">
      <c r="A12" s="2">
        <v>10</v>
      </c>
      <c r="B12">
        <v>61.5</v>
      </c>
      <c r="D12">
        <v>11</v>
      </c>
      <c r="E12">
        <v>231.37</v>
      </c>
      <c r="F12">
        <v>0.2</v>
      </c>
      <c r="G12">
        <v>17692.099999999999</v>
      </c>
      <c r="H12">
        <f t="shared" si="0"/>
        <v>3538.42</v>
      </c>
      <c r="I12">
        <f t="shared" si="1"/>
        <v>4246.1040000000003</v>
      </c>
    </row>
    <row r="13" spans="1:9">
      <c r="A13" s="2">
        <v>11</v>
      </c>
      <c r="B13">
        <v>39</v>
      </c>
      <c r="D13">
        <v>12</v>
      </c>
      <c r="E13">
        <v>204.95</v>
      </c>
      <c r="F13">
        <v>0.2</v>
      </c>
      <c r="G13">
        <v>22353.200000000001</v>
      </c>
      <c r="H13">
        <f t="shared" si="0"/>
        <v>4470.6400000000003</v>
      </c>
      <c r="I13">
        <f t="shared" si="1"/>
        <v>5364.768</v>
      </c>
    </row>
    <row r="14" spans="1:9">
      <c r="A14" s="2">
        <v>12</v>
      </c>
      <c r="B14">
        <v>9.5</v>
      </c>
      <c r="D14">
        <v>13</v>
      </c>
      <c r="E14">
        <v>185.06</v>
      </c>
      <c r="F14">
        <v>0.2</v>
      </c>
      <c r="G14">
        <v>27200.400000000001</v>
      </c>
      <c r="H14">
        <f t="shared" si="0"/>
        <v>5440.0800000000008</v>
      </c>
      <c r="I14">
        <f t="shared" si="1"/>
        <v>6528.0960000000005</v>
      </c>
    </row>
    <row r="15" spans="1:9">
      <c r="A15" s="2"/>
      <c r="D15">
        <v>14</v>
      </c>
      <c r="E15">
        <v>170.07</v>
      </c>
      <c r="F15">
        <v>0.2</v>
      </c>
      <c r="G15">
        <v>32223.599999999999</v>
      </c>
      <c r="H15">
        <f t="shared" si="0"/>
        <v>6444.72</v>
      </c>
      <c r="I15">
        <f t="shared" si="1"/>
        <v>7733.6639999999998</v>
      </c>
    </row>
    <row r="16" spans="1:9">
      <c r="A16" s="2"/>
      <c r="D16">
        <v>15</v>
      </c>
      <c r="E16">
        <v>155.88999999999999</v>
      </c>
      <c r="F16">
        <v>0.2</v>
      </c>
      <c r="G16">
        <v>36773.4</v>
      </c>
      <c r="H16">
        <f t="shared" si="0"/>
        <v>7354.68</v>
      </c>
      <c r="I16">
        <f t="shared" si="1"/>
        <v>8825.616</v>
      </c>
    </row>
    <row r="17" spans="1:9">
      <c r="A17" s="2"/>
      <c r="D17">
        <v>16</v>
      </c>
      <c r="E17">
        <v>142.12</v>
      </c>
      <c r="F17">
        <v>0.2</v>
      </c>
      <c r="G17">
        <v>41810.9</v>
      </c>
      <c r="H17">
        <f t="shared" si="0"/>
        <v>8362.18</v>
      </c>
      <c r="I17">
        <f t="shared" si="1"/>
        <v>10034.616</v>
      </c>
    </row>
    <row r="18" spans="1:9">
      <c r="A18" s="2"/>
      <c r="D18">
        <v>17</v>
      </c>
      <c r="E18">
        <v>128.84</v>
      </c>
      <c r="F18">
        <v>0.2</v>
      </c>
      <c r="G18">
        <v>46395</v>
      </c>
      <c r="H18">
        <f t="shared" si="0"/>
        <v>9279</v>
      </c>
      <c r="I18">
        <f t="shared" si="1"/>
        <v>11134.8</v>
      </c>
    </row>
    <row r="19" spans="1:9">
      <c r="A19" s="2"/>
      <c r="D19">
        <v>18</v>
      </c>
      <c r="E19">
        <v>116.12</v>
      </c>
      <c r="F19">
        <v>0.2</v>
      </c>
      <c r="G19">
        <v>49594.6</v>
      </c>
      <c r="H19">
        <f t="shared" si="0"/>
        <v>9918.92</v>
      </c>
      <c r="I19">
        <f t="shared" si="1"/>
        <v>11902.704</v>
      </c>
    </row>
    <row r="20" spans="1:9">
      <c r="A20" s="2"/>
      <c r="D20">
        <v>19</v>
      </c>
      <c r="E20">
        <v>104.05</v>
      </c>
      <c r="F20">
        <v>0.2</v>
      </c>
      <c r="G20">
        <v>51544.5</v>
      </c>
      <c r="H20">
        <f t="shared" si="0"/>
        <v>10308.900000000001</v>
      </c>
      <c r="I20">
        <f t="shared" si="1"/>
        <v>12370.680000000002</v>
      </c>
    </row>
    <row r="21" spans="1:9">
      <c r="A21" s="2"/>
      <c r="D21">
        <v>20</v>
      </c>
      <c r="E21">
        <v>92.7</v>
      </c>
      <c r="F21">
        <v>0.2</v>
      </c>
      <c r="G21">
        <v>51142.3</v>
      </c>
      <c r="H21">
        <f t="shared" si="0"/>
        <v>10228.460000000001</v>
      </c>
      <c r="I21">
        <f t="shared" si="1"/>
        <v>12274.152</v>
      </c>
    </row>
    <row r="22" spans="1:9">
      <c r="A22" s="2"/>
      <c r="D22">
        <v>21</v>
      </c>
      <c r="E22">
        <v>82.15</v>
      </c>
      <c r="F22">
        <v>0.2</v>
      </c>
      <c r="G22">
        <v>48457.3</v>
      </c>
      <c r="H22">
        <f t="shared" si="0"/>
        <v>9691.4600000000009</v>
      </c>
      <c r="I22">
        <f t="shared" si="1"/>
        <v>11629.752</v>
      </c>
    </row>
    <row r="23" spans="1:9">
      <c r="A23" s="2"/>
      <c r="D23">
        <v>22</v>
      </c>
      <c r="E23">
        <v>72.489999999999995</v>
      </c>
      <c r="F23">
        <v>0.2</v>
      </c>
      <c r="G23">
        <v>44230.7</v>
      </c>
      <c r="H23">
        <f t="shared" si="0"/>
        <v>8846.14</v>
      </c>
      <c r="I23">
        <f t="shared" si="1"/>
        <v>10615.367999999999</v>
      </c>
    </row>
    <row r="24" spans="1:9">
      <c r="A24" s="2"/>
      <c r="D24">
        <v>23</v>
      </c>
      <c r="E24">
        <v>63.79</v>
      </c>
      <c r="F24">
        <v>0.2</v>
      </c>
      <c r="G24">
        <v>39899.9</v>
      </c>
      <c r="H24">
        <f t="shared" si="0"/>
        <v>7979.9800000000005</v>
      </c>
      <c r="I24">
        <f t="shared" si="1"/>
        <v>9575.9760000000006</v>
      </c>
    </row>
    <row r="25" spans="1:9">
      <c r="A25" s="2"/>
      <c r="D25">
        <v>24</v>
      </c>
      <c r="E25">
        <v>56.13</v>
      </c>
      <c r="F25">
        <v>0.2</v>
      </c>
      <c r="G25">
        <v>36108.400000000001</v>
      </c>
      <c r="H25">
        <f t="shared" si="0"/>
        <v>7221.68</v>
      </c>
      <c r="I25">
        <f t="shared" si="1"/>
        <v>8666.0159999999996</v>
      </c>
    </row>
    <row r="26" spans="1:9">
      <c r="A26" s="2"/>
      <c r="D26">
        <v>25</v>
      </c>
      <c r="E26">
        <v>49.6</v>
      </c>
      <c r="F26">
        <v>0.2</v>
      </c>
      <c r="G26">
        <v>32738.5</v>
      </c>
      <c r="H26">
        <f t="shared" si="0"/>
        <v>6547.7000000000007</v>
      </c>
      <c r="I26">
        <f t="shared" si="1"/>
        <v>7857.2400000000007</v>
      </c>
    </row>
    <row r="27" spans="1:9">
      <c r="A27" s="2"/>
      <c r="D27">
        <v>26</v>
      </c>
      <c r="E27">
        <v>44.26</v>
      </c>
      <c r="F27">
        <v>0.2</v>
      </c>
      <c r="G27">
        <v>29603.1</v>
      </c>
      <c r="H27">
        <f t="shared" si="0"/>
        <v>5920.62</v>
      </c>
      <c r="I27">
        <f t="shared" si="1"/>
        <v>7104.7439999999997</v>
      </c>
    </row>
    <row r="28" spans="1:9">
      <c r="A28" s="2"/>
      <c r="D28">
        <v>27</v>
      </c>
      <c r="E28">
        <v>40.15</v>
      </c>
      <c r="F28">
        <v>0.2</v>
      </c>
      <c r="G28">
        <v>26664.3</v>
      </c>
      <c r="H28">
        <f t="shared" si="0"/>
        <v>5332.8600000000006</v>
      </c>
      <c r="I28">
        <f t="shared" si="1"/>
        <v>6399.4320000000007</v>
      </c>
    </row>
    <row r="29" spans="1:9">
      <c r="A29" s="2"/>
      <c r="D29">
        <v>28</v>
      </c>
      <c r="E29">
        <v>36.51</v>
      </c>
      <c r="F29">
        <v>0.2</v>
      </c>
      <c r="G29">
        <v>23919.7</v>
      </c>
      <c r="H29">
        <f t="shared" si="0"/>
        <v>4783.9400000000005</v>
      </c>
      <c r="I29">
        <f t="shared" si="1"/>
        <v>5740.7280000000001</v>
      </c>
    </row>
    <row r="30" spans="1:9">
      <c r="A30" s="2"/>
      <c r="D30">
        <v>29</v>
      </c>
      <c r="E30">
        <v>33.1</v>
      </c>
      <c r="F30">
        <v>0.2</v>
      </c>
      <c r="G30">
        <v>21373.3</v>
      </c>
      <c r="H30">
        <f t="shared" si="0"/>
        <v>4274.66</v>
      </c>
      <c r="I30">
        <f t="shared" si="1"/>
        <v>5129.5919999999996</v>
      </c>
    </row>
    <row r="31" spans="1:9">
      <c r="A31" s="2"/>
      <c r="D31">
        <v>30</v>
      </c>
      <c r="E31">
        <v>29.91</v>
      </c>
      <c r="F31">
        <v>0.2</v>
      </c>
      <c r="G31">
        <v>19036.7</v>
      </c>
      <c r="H31">
        <f t="shared" si="0"/>
        <v>3807.34</v>
      </c>
      <c r="I31">
        <f t="shared" si="1"/>
        <v>4568.808</v>
      </c>
    </row>
    <row r="32" spans="1:9">
      <c r="A32" s="2"/>
      <c r="D32">
        <v>31</v>
      </c>
      <c r="E32">
        <v>26.95</v>
      </c>
      <c r="F32">
        <v>0.2</v>
      </c>
      <c r="G32">
        <v>16924</v>
      </c>
      <c r="H32">
        <f t="shared" si="0"/>
        <v>3384.8</v>
      </c>
      <c r="I32">
        <f t="shared" si="1"/>
        <v>4061.76</v>
      </c>
    </row>
    <row r="33" spans="1:9">
      <c r="A33" s="2"/>
      <c r="D33">
        <v>32</v>
      </c>
      <c r="E33">
        <v>24.2</v>
      </c>
      <c r="F33">
        <v>0.2</v>
      </c>
      <c r="G33">
        <v>15043.1</v>
      </c>
      <c r="H33">
        <f t="shared" si="0"/>
        <v>3008.6200000000003</v>
      </c>
      <c r="I33">
        <f t="shared" si="1"/>
        <v>3610.3440000000005</v>
      </c>
    </row>
    <row r="34" spans="1:9">
      <c r="A34" s="2"/>
      <c r="D34">
        <v>33</v>
      </c>
      <c r="E34">
        <v>21.68</v>
      </c>
      <c r="F34">
        <v>0.2</v>
      </c>
      <c r="G34">
        <v>13375.1</v>
      </c>
      <c r="H34">
        <f t="shared" si="0"/>
        <v>2675.0200000000004</v>
      </c>
      <c r="I34">
        <f t="shared" si="1"/>
        <v>3210.0240000000003</v>
      </c>
    </row>
    <row r="35" spans="1:9">
      <c r="A35" s="2"/>
      <c r="D35">
        <v>34</v>
      </c>
      <c r="E35">
        <v>19.38</v>
      </c>
      <c r="F35">
        <v>0.2</v>
      </c>
      <c r="G35">
        <v>11898.9</v>
      </c>
      <c r="H35">
        <f t="shared" si="0"/>
        <v>2379.7800000000002</v>
      </c>
      <c r="I35">
        <f t="shared" si="1"/>
        <v>2855.7360000000003</v>
      </c>
    </row>
    <row r="36" spans="1:9">
      <c r="A36" s="2"/>
      <c r="D36">
        <v>35</v>
      </c>
      <c r="E36">
        <v>17.3</v>
      </c>
      <c r="F36">
        <v>0.2</v>
      </c>
      <c r="G36">
        <v>10599.9</v>
      </c>
      <c r="H36">
        <f t="shared" si="0"/>
        <v>2119.98</v>
      </c>
      <c r="I36">
        <f t="shared" si="1"/>
        <v>2543.9760000000001</v>
      </c>
    </row>
    <row r="37" spans="1:9">
      <c r="A37" s="2"/>
      <c r="D37">
        <v>36</v>
      </c>
      <c r="E37">
        <v>15.43</v>
      </c>
      <c r="F37">
        <v>0.2</v>
      </c>
      <c r="G37">
        <v>9478.44</v>
      </c>
      <c r="H37">
        <f t="shared" si="0"/>
        <v>1895.6880000000001</v>
      </c>
      <c r="I37">
        <f t="shared" si="1"/>
        <v>2274.8256000000001</v>
      </c>
    </row>
    <row r="38" spans="1:9">
      <c r="A38" s="2"/>
      <c r="D38">
        <v>37</v>
      </c>
      <c r="E38">
        <v>13.78</v>
      </c>
      <c r="F38">
        <v>0.2</v>
      </c>
      <c r="G38">
        <v>8528.1299999999992</v>
      </c>
      <c r="H38">
        <f t="shared" si="0"/>
        <v>1705.626</v>
      </c>
      <c r="I38">
        <f t="shared" si="1"/>
        <v>2046.7511999999999</v>
      </c>
    </row>
    <row r="39" spans="1:9">
      <c r="A39" s="2"/>
      <c r="D39">
        <v>38</v>
      </c>
      <c r="E39">
        <v>12.34</v>
      </c>
      <c r="F39">
        <v>0.2</v>
      </c>
      <c r="G39">
        <v>7701.18</v>
      </c>
      <c r="H39">
        <f t="shared" si="0"/>
        <v>1540.2360000000001</v>
      </c>
      <c r="I39">
        <f t="shared" si="1"/>
        <v>1848.2832000000001</v>
      </c>
    </row>
    <row r="40" spans="1:9">
      <c r="A40" s="2"/>
      <c r="D40">
        <v>39</v>
      </c>
      <c r="E40">
        <v>11.12</v>
      </c>
      <c r="F40">
        <v>0.2</v>
      </c>
      <c r="G40">
        <v>6953.32</v>
      </c>
      <c r="H40">
        <f t="shared" si="0"/>
        <v>1390.664</v>
      </c>
      <c r="I40">
        <f t="shared" si="1"/>
        <v>1668.7967999999998</v>
      </c>
    </row>
    <row r="41" spans="1:9">
      <c r="A41" s="2"/>
      <c r="D41">
        <v>40</v>
      </c>
      <c r="E41">
        <v>10.1</v>
      </c>
      <c r="F41">
        <v>0.2</v>
      </c>
      <c r="G41">
        <v>6267.17</v>
      </c>
      <c r="H41">
        <f t="shared" si="0"/>
        <v>1253.4340000000002</v>
      </c>
      <c r="I41">
        <f t="shared" si="1"/>
        <v>1504.1208000000001</v>
      </c>
    </row>
    <row r="42" spans="1:9">
      <c r="A42" s="2"/>
      <c r="D42">
        <v>41</v>
      </c>
      <c r="E42">
        <v>9.2100000000000009</v>
      </c>
      <c r="F42">
        <v>0.2</v>
      </c>
      <c r="G42">
        <v>5638.22</v>
      </c>
      <c r="H42">
        <f t="shared" si="0"/>
        <v>1127.644</v>
      </c>
      <c r="I42">
        <f t="shared" si="1"/>
        <v>1353.1728000000001</v>
      </c>
    </row>
    <row r="43" spans="1:9">
      <c r="D43">
        <v>42</v>
      </c>
      <c r="E43">
        <v>8.34</v>
      </c>
      <c r="F43">
        <v>0.2</v>
      </c>
      <c r="G43">
        <v>5062.4399999999996</v>
      </c>
      <c r="H43">
        <f t="shared" si="0"/>
        <v>1012.4879999999999</v>
      </c>
      <c r="I43">
        <f t="shared" si="1"/>
        <v>1214.9856</v>
      </c>
    </row>
    <row r="44" spans="1:9">
      <c r="D44">
        <v>43</v>
      </c>
      <c r="E44">
        <v>7.51</v>
      </c>
      <c r="F44">
        <v>0.2</v>
      </c>
      <c r="G44">
        <v>4538.7299999999996</v>
      </c>
      <c r="H44">
        <f t="shared" si="0"/>
        <v>907.74599999999998</v>
      </c>
      <c r="I44">
        <f t="shared" si="1"/>
        <v>1089.2952</v>
      </c>
    </row>
    <row r="45" spans="1:9">
      <c r="D45">
        <v>44</v>
      </c>
      <c r="E45">
        <v>6.72</v>
      </c>
      <c r="F45">
        <v>0.2</v>
      </c>
      <c r="G45">
        <v>4066.72</v>
      </c>
      <c r="H45">
        <f t="shared" si="0"/>
        <v>813.34400000000005</v>
      </c>
      <c r="I45">
        <f t="shared" si="1"/>
        <v>976.01279999999997</v>
      </c>
    </row>
    <row r="46" spans="1:9">
      <c r="D46">
        <v>45</v>
      </c>
      <c r="E46">
        <v>5.97</v>
      </c>
      <c r="F46">
        <v>0.2</v>
      </c>
      <c r="G46">
        <v>3644.57</v>
      </c>
      <c r="H46">
        <f t="shared" si="0"/>
        <v>728.9140000000001</v>
      </c>
      <c r="I46">
        <f t="shared" si="1"/>
        <v>874.69680000000005</v>
      </c>
    </row>
    <row r="47" spans="1:9">
      <c r="D47">
        <v>46</v>
      </c>
      <c r="E47">
        <v>5.28</v>
      </c>
      <c r="F47">
        <v>0.2</v>
      </c>
      <c r="G47">
        <v>3268.04</v>
      </c>
      <c r="H47">
        <f t="shared" si="0"/>
        <v>653.60800000000006</v>
      </c>
      <c r="I47">
        <f t="shared" si="1"/>
        <v>784.32960000000003</v>
      </c>
    </row>
    <row r="48" spans="1:9">
      <c r="D48">
        <v>47</v>
      </c>
      <c r="E48">
        <v>4.66</v>
      </c>
      <c r="F48">
        <v>0.2</v>
      </c>
      <c r="G48">
        <v>2931.11</v>
      </c>
      <c r="H48">
        <f t="shared" si="0"/>
        <v>586.22200000000009</v>
      </c>
      <c r="I48">
        <f t="shared" si="1"/>
        <v>703.46640000000014</v>
      </c>
    </row>
    <row r="49" spans="4:9">
      <c r="D49">
        <v>48</v>
      </c>
      <c r="E49">
        <v>4.0999999999999996</v>
      </c>
      <c r="F49">
        <v>0.2</v>
      </c>
      <c r="G49">
        <v>2629.43</v>
      </c>
      <c r="H49">
        <f t="shared" si="0"/>
        <v>525.88599999999997</v>
      </c>
      <c r="I49">
        <f t="shared" si="1"/>
        <v>631.06319999999994</v>
      </c>
    </row>
    <row r="50" spans="4:9">
      <c r="D50">
        <v>49</v>
      </c>
      <c r="E50">
        <v>3.63</v>
      </c>
      <c r="F50">
        <v>0.2</v>
      </c>
      <c r="G50">
        <v>2361.5300000000002</v>
      </c>
      <c r="H50">
        <f t="shared" si="0"/>
        <v>472.30600000000004</v>
      </c>
      <c r="I50">
        <f t="shared" si="1"/>
        <v>566.7672</v>
      </c>
    </row>
    <row r="51" spans="4:9">
      <c r="D51">
        <v>50</v>
      </c>
      <c r="E51">
        <v>3.23</v>
      </c>
      <c r="F51">
        <v>0.2</v>
      </c>
      <c r="G51">
        <v>2125.69</v>
      </c>
      <c r="H51">
        <f t="shared" si="0"/>
        <v>425.13800000000003</v>
      </c>
      <c r="I51">
        <f t="shared" si="1"/>
        <v>510.16560000000004</v>
      </c>
    </row>
    <row r="52" spans="4:9">
      <c r="D52">
        <v>51</v>
      </c>
      <c r="E52">
        <v>2.93</v>
      </c>
      <c r="F52">
        <v>0.2</v>
      </c>
      <c r="G52">
        <v>1916.8</v>
      </c>
      <c r="H52">
        <f t="shared" si="0"/>
        <v>383.36</v>
      </c>
      <c r="I52">
        <f t="shared" si="1"/>
        <v>460.03199999999998</v>
      </c>
    </row>
    <row r="53" spans="4:9">
      <c r="D53">
        <v>52</v>
      </c>
      <c r="E53">
        <v>2.73</v>
      </c>
      <c r="F53">
        <v>0.2</v>
      </c>
      <c r="G53">
        <v>1726.73</v>
      </c>
      <c r="H53">
        <f t="shared" si="0"/>
        <v>345.346</v>
      </c>
      <c r="I53">
        <f t="shared" si="1"/>
        <v>414.41519999999997</v>
      </c>
    </row>
    <row r="54" spans="4:9">
      <c r="D54">
        <v>53</v>
      </c>
      <c r="E54">
        <v>2.63</v>
      </c>
      <c r="F54">
        <v>0.2</v>
      </c>
      <c r="G54">
        <v>1552.46</v>
      </c>
      <c r="H54">
        <f t="shared" si="0"/>
        <v>310.49200000000002</v>
      </c>
      <c r="I54">
        <f t="shared" si="1"/>
        <v>372.59039999999999</v>
      </c>
    </row>
    <row r="55" spans="4:9">
      <c r="F55">
        <v>0.2</v>
      </c>
      <c r="G55">
        <v>1338.23</v>
      </c>
      <c r="H55">
        <f t="shared" si="0"/>
        <v>267.64600000000002</v>
      </c>
      <c r="I55">
        <f t="shared" si="1"/>
        <v>321.17520000000002</v>
      </c>
    </row>
    <row r="56" spans="4:9">
      <c r="F56">
        <v>0.2</v>
      </c>
      <c r="G56">
        <v>1162.81</v>
      </c>
      <c r="H56">
        <f t="shared" si="0"/>
        <v>232.56200000000001</v>
      </c>
      <c r="I56">
        <f t="shared" si="1"/>
        <v>279.07440000000003</v>
      </c>
    </row>
    <row r="57" spans="4:9">
      <c r="F57">
        <v>0.2</v>
      </c>
      <c r="G57">
        <v>1024.8699999999999</v>
      </c>
      <c r="H57">
        <f t="shared" si="0"/>
        <v>204.97399999999999</v>
      </c>
      <c r="I57">
        <f t="shared" si="1"/>
        <v>245.96879999999999</v>
      </c>
    </row>
    <row r="58" spans="4:9">
      <c r="F58">
        <v>0.2</v>
      </c>
      <c r="G58">
        <v>909.995</v>
      </c>
      <c r="H58">
        <f t="shared" si="0"/>
        <v>181.99900000000002</v>
      </c>
      <c r="I58">
        <f t="shared" si="1"/>
        <v>218.39880000000002</v>
      </c>
    </row>
    <row r="59" spans="4:9">
      <c r="F59">
        <v>0.2</v>
      </c>
      <c r="G59">
        <v>795.255</v>
      </c>
      <c r="H59">
        <f t="shared" si="0"/>
        <v>159.05100000000002</v>
      </c>
      <c r="I59">
        <f t="shared" si="1"/>
        <v>190.86120000000003</v>
      </c>
    </row>
    <row r="60" spans="4:9">
      <c r="F60">
        <v>0.2</v>
      </c>
      <c r="G60">
        <v>623.21500000000003</v>
      </c>
      <c r="H60">
        <f t="shared" si="0"/>
        <v>124.64300000000001</v>
      </c>
      <c r="I60">
        <f t="shared" si="1"/>
        <v>149.57160000000002</v>
      </c>
    </row>
    <row r="61" spans="4:9">
      <c r="F61">
        <v>0.2</v>
      </c>
      <c r="G61">
        <v>488.91500000000002</v>
      </c>
      <c r="H61">
        <f t="shared" si="0"/>
        <v>97.783000000000015</v>
      </c>
      <c r="I61">
        <f t="shared" si="1"/>
        <v>117.33960000000002</v>
      </c>
    </row>
    <row r="62" spans="4:9">
      <c r="F62">
        <v>0.2</v>
      </c>
      <c r="G62">
        <v>388.07499999999999</v>
      </c>
      <c r="H62">
        <f t="shared" si="0"/>
        <v>77.615000000000009</v>
      </c>
      <c r="I62">
        <f t="shared" si="1"/>
        <v>93.138000000000005</v>
      </c>
    </row>
    <row r="63" spans="4:9">
      <c r="F63">
        <v>0.2</v>
      </c>
      <c r="G63">
        <v>349.67</v>
      </c>
      <c r="H63">
        <f t="shared" si="0"/>
        <v>69.934000000000012</v>
      </c>
      <c r="I63">
        <f t="shared" si="1"/>
        <v>83.920800000000014</v>
      </c>
    </row>
    <row r="64" spans="4:9">
      <c r="F64">
        <v>0.2</v>
      </c>
      <c r="G64">
        <v>296.05</v>
      </c>
      <c r="H64">
        <f t="shared" si="0"/>
        <v>59.210000000000008</v>
      </c>
      <c r="I64">
        <f t="shared" si="1"/>
        <v>71.052000000000007</v>
      </c>
    </row>
    <row r="65" spans="6:9">
      <c r="F65">
        <v>0.2</v>
      </c>
      <c r="G65">
        <v>128.505</v>
      </c>
      <c r="H65">
        <f t="shared" si="0"/>
        <v>25.701000000000001</v>
      </c>
      <c r="I65">
        <f t="shared" si="1"/>
        <v>30.841200000000001</v>
      </c>
    </row>
    <row r="66" spans="6:9">
      <c r="F66">
        <v>0.2</v>
      </c>
      <c r="G66">
        <v>24.984999999999999</v>
      </c>
      <c r="H66">
        <f t="shared" si="0"/>
        <v>4.9969999999999999</v>
      </c>
      <c r="I66">
        <f t="shared" si="1"/>
        <v>5.9963999999999995</v>
      </c>
    </row>
    <row r="67" spans="6:9">
      <c r="H67">
        <f>SUM(H2:H66)</f>
        <v>179680.14400000003</v>
      </c>
      <c r="I67">
        <f>SUM(I2:I66)</f>
        <v>215616.17280000009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新店溪</vt:lpstr>
      <vt:lpstr>大漢溪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2023-05-15T05:57:44Z</dcterms:created>
  <dcterms:modified xsi:type="dcterms:W3CDTF">2023-05-15T08:41:48Z</dcterms:modified>
</cp:coreProperties>
</file>