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ziqin/Desktop/capstone data/"/>
    </mc:Choice>
  </mc:AlternateContent>
  <xr:revisionPtr revIDLastSave="0" documentId="13_ncr:1_{8AFA49E5-450A-FE40-B888-737E4421F6D1}" xr6:coauthVersionLast="47" xr6:coauthVersionMax="47" xr10:uidLastSave="{00000000-0000-0000-0000-000000000000}"/>
  <bookViews>
    <workbookView xWindow="380" yWindow="500" windowWidth="24820" windowHeight="13920" xr2:uid="{98D7A394-582C-A148-8DE6-CAB0B987656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1" i="1"/>
  <c r="N39" i="1"/>
  <c r="N40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1" i="1"/>
</calcChain>
</file>

<file path=xl/sharedStrings.xml><?xml version="1.0" encoding="utf-8"?>
<sst xmlns="http://schemas.openxmlformats.org/spreadsheetml/2006/main" count="1" uniqueCount="1">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</sst>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10~30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283172936716244E-2"/>
          <c:y val="0.12612582781456957"/>
          <c:w val="0.81960061242344706"/>
          <c:h val="0.80036997444855817"/>
        </c:manualLayout>
      </c:layout>
      <c:barChart>
        <c:barDir val="col"/>
        <c:grouping val="clustered"/>
        <c:varyColors val="0"/>
        <c:ser>
          <c:idx val="0"/>
          <c:order val="0"/>
          <c:tx>
            <c:v>開疏洪道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工作表1!$A$1:$A$40</c:f>
              <c:numCache>
                <c:formatCode>General</c:formatCode>
                <c:ptCount val="40"/>
                <c:pt idx="0">
                  <c:v>667.5</c:v>
                </c:pt>
                <c:pt idx="1">
                  <c:v>371</c:v>
                </c:pt>
                <c:pt idx="2">
                  <c:v>26</c:v>
                </c:pt>
                <c:pt idx="3">
                  <c:v>13</c:v>
                </c:pt>
                <c:pt idx="4">
                  <c:v>5.5</c:v>
                </c:pt>
                <c:pt idx="5">
                  <c:v>1</c:v>
                </c:pt>
                <c:pt idx="6">
                  <c:v>373.5</c:v>
                </c:pt>
                <c:pt idx="7">
                  <c:v>12.5</c:v>
                </c:pt>
                <c:pt idx="8">
                  <c:v>221.5</c:v>
                </c:pt>
                <c:pt idx="9">
                  <c:v>206</c:v>
                </c:pt>
                <c:pt idx="10">
                  <c:v>7.5</c:v>
                </c:pt>
                <c:pt idx="11">
                  <c:v>84</c:v>
                </c:pt>
                <c:pt idx="12">
                  <c:v>253</c:v>
                </c:pt>
                <c:pt idx="13">
                  <c:v>0</c:v>
                </c:pt>
                <c:pt idx="14">
                  <c:v>14.5</c:v>
                </c:pt>
                <c:pt idx="15">
                  <c:v>50.5</c:v>
                </c:pt>
                <c:pt idx="16">
                  <c:v>0</c:v>
                </c:pt>
                <c:pt idx="17">
                  <c:v>2.5</c:v>
                </c:pt>
                <c:pt idx="18">
                  <c:v>54.5</c:v>
                </c:pt>
                <c:pt idx="19">
                  <c:v>138.5</c:v>
                </c:pt>
                <c:pt idx="20">
                  <c:v>128.5</c:v>
                </c:pt>
                <c:pt idx="21">
                  <c:v>325</c:v>
                </c:pt>
                <c:pt idx="22">
                  <c:v>345</c:v>
                </c:pt>
                <c:pt idx="23">
                  <c:v>191</c:v>
                </c:pt>
                <c:pt idx="24">
                  <c:v>2.5</c:v>
                </c:pt>
                <c:pt idx="25">
                  <c:v>0</c:v>
                </c:pt>
                <c:pt idx="26">
                  <c:v>0.5</c:v>
                </c:pt>
                <c:pt idx="27">
                  <c:v>0</c:v>
                </c:pt>
                <c:pt idx="28">
                  <c:v>375.5</c:v>
                </c:pt>
                <c:pt idx="29">
                  <c:v>414</c:v>
                </c:pt>
                <c:pt idx="30">
                  <c:v>647.5</c:v>
                </c:pt>
                <c:pt idx="31">
                  <c:v>66.5</c:v>
                </c:pt>
                <c:pt idx="32">
                  <c:v>225.5</c:v>
                </c:pt>
                <c:pt idx="33">
                  <c:v>0</c:v>
                </c:pt>
                <c:pt idx="34">
                  <c:v>27.5</c:v>
                </c:pt>
                <c:pt idx="35">
                  <c:v>14</c:v>
                </c:pt>
                <c:pt idx="36">
                  <c:v>70</c:v>
                </c:pt>
                <c:pt idx="37">
                  <c:v>0.5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5-9649-9CB3-0CBEC7B46589}"/>
            </c:ext>
          </c:extLst>
        </c:ser>
        <c:ser>
          <c:idx val="1"/>
          <c:order val="1"/>
          <c:tx>
            <c:v>關疏洪道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工作表1!$B$1:$B$40</c:f>
              <c:numCache>
                <c:formatCode>General</c:formatCode>
                <c:ptCount val="40"/>
                <c:pt idx="0">
                  <c:v>667.5</c:v>
                </c:pt>
                <c:pt idx="1">
                  <c:v>374.5</c:v>
                </c:pt>
                <c:pt idx="2">
                  <c:v>20.5</c:v>
                </c:pt>
                <c:pt idx="3">
                  <c:v>15</c:v>
                </c:pt>
                <c:pt idx="4">
                  <c:v>5.5</c:v>
                </c:pt>
                <c:pt idx="5">
                  <c:v>1.5</c:v>
                </c:pt>
                <c:pt idx="6">
                  <c:v>377</c:v>
                </c:pt>
                <c:pt idx="7">
                  <c:v>19</c:v>
                </c:pt>
                <c:pt idx="8">
                  <c:v>449.5</c:v>
                </c:pt>
                <c:pt idx="9">
                  <c:v>365</c:v>
                </c:pt>
                <c:pt idx="10">
                  <c:v>8.5</c:v>
                </c:pt>
                <c:pt idx="11">
                  <c:v>90.5</c:v>
                </c:pt>
                <c:pt idx="12">
                  <c:v>270</c:v>
                </c:pt>
                <c:pt idx="13">
                  <c:v>0</c:v>
                </c:pt>
                <c:pt idx="14">
                  <c:v>18</c:v>
                </c:pt>
                <c:pt idx="15">
                  <c:v>45</c:v>
                </c:pt>
                <c:pt idx="16">
                  <c:v>0</c:v>
                </c:pt>
                <c:pt idx="17">
                  <c:v>2</c:v>
                </c:pt>
                <c:pt idx="18">
                  <c:v>55.5</c:v>
                </c:pt>
                <c:pt idx="19">
                  <c:v>169.5</c:v>
                </c:pt>
                <c:pt idx="20">
                  <c:v>168.5</c:v>
                </c:pt>
                <c:pt idx="21">
                  <c:v>337.5</c:v>
                </c:pt>
                <c:pt idx="22">
                  <c:v>351.5</c:v>
                </c:pt>
                <c:pt idx="23">
                  <c:v>101.5</c:v>
                </c:pt>
                <c:pt idx="24">
                  <c:v>0.5</c:v>
                </c:pt>
                <c:pt idx="25">
                  <c:v>0.5</c:v>
                </c:pt>
                <c:pt idx="26">
                  <c:v>0</c:v>
                </c:pt>
                <c:pt idx="27">
                  <c:v>0</c:v>
                </c:pt>
                <c:pt idx="28">
                  <c:v>403.5</c:v>
                </c:pt>
                <c:pt idx="29">
                  <c:v>487.5</c:v>
                </c:pt>
                <c:pt idx="30">
                  <c:v>641</c:v>
                </c:pt>
                <c:pt idx="31">
                  <c:v>347</c:v>
                </c:pt>
                <c:pt idx="32">
                  <c:v>176</c:v>
                </c:pt>
                <c:pt idx="33">
                  <c:v>0</c:v>
                </c:pt>
                <c:pt idx="34">
                  <c:v>47</c:v>
                </c:pt>
                <c:pt idx="35">
                  <c:v>14.5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55-9649-9CB3-0CBEC7B46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9763679"/>
        <c:axId val="1423515743"/>
      </c:barChart>
      <c:catAx>
        <c:axId val="1399763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3515743"/>
        <c:crosses val="autoZero"/>
        <c:auto val="1"/>
        <c:lblAlgn val="ctr"/>
        <c:lblOffset val="100"/>
        <c:noMultiLvlLbl val="0"/>
      </c:catAx>
      <c:valAx>
        <c:axId val="14235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9976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15</a:t>
            </a:r>
            <a:r>
              <a:rPr lang="en-US" altLang="zh-TW" i="1"/>
              <a:t>~55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開疏洪道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工作表1!$L$1:$L$38</c:f>
              <c:numCache>
                <c:formatCode>General</c:formatCode>
                <c:ptCount val="38"/>
                <c:pt idx="0">
                  <c:v>352.5</c:v>
                </c:pt>
                <c:pt idx="1">
                  <c:v>663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680.5</c:v>
                </c:pt>
                <c:pt idx="7">
                  <c:v>6</c:v>
                </c:pt>
                <c:pt idx="8">
                  <c:v>138</c:v>
                </c:pt>
                <c:pt idx="9">
                  <c:v>112.5</c:v>
                </c:pt>
                <c:pt idx="10">
                  <c:v>0</c:v>
                </c:pt>
                <c:pt idx="11">
                  <c:v>132.5</c:v>
                </c:pt>
                <c:pt idx="12">
                  <c:v>230.5</c:v>
                </c:pt>
                <c:pt idx="13">
                  <c:v>0</c:v>
                </c:pt>
                <c:pt idx="14">
                  <c:v>21</c:v>
                </c:pt>
                <c:pt idx="15">
                  <c:v>97</c:v>
                </c:pt>
                <c:pt idx="16">
                  <c:v>0</c:v>
                </c:pt>
                <c:pt idx="17">
                  <c:v>0</c:v>
                </c:pt>
                <c:pt idx="18">
                  <c:v>38</c:v>
                </c:pt>
                <c:pt idx="19">
                  <c:v>265</c:v>
                </c:pt>
                <c:pt idx="20">
                  <c:v>209.5</c:v>
                </c:pt>
                <c:pt idx="21">
                  <c:v>169</c:v>
                </c:pt>
                <c:pt idx="22">
                  <c:v>323.5</c:v>
                </c:pt>
                <c:pt idx="23">
                  <c:v>179.5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362.5</c:v>
                </c:pt>
                <c:pt idx="29">
                  <c:v>358</c:v>
                </c:pt>
                <c:pt idx="30">
                  <c:v>356.5</c:v>
                </c:pt>
                <c:pt idx="31">
                  <c:v>192.5</c:v>
                </c:pt>
                <c:pt idx="32">
                  <c:v>194</c:v>
                </c:pt>
                <c:pt idx="33">
                  <c:v>0</c:v>
                </c:pt>
                <c:pt idx="34">
                  <c:v>19</c:v>
                </c:pt>
                <c:pt idx="35">
                  <c:v>0</c:v>
                </c:pt>
                <c:pt idx="36">
                  <c:v>143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4-9748-892A-2855349355E4}"/>
            </c:ext>
          </c:extLst>
        </c:ser>
        <c:ser>
          <c:idx val="1"/>
          <c:order val="1"/>
          <c:tx>
            <c:v>關疏洪道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工作表1!$M$1:$M$38</c:f>
              <c:numCache>
                <c:formatCode>General</c:formatCode>
                <c:ptCount val="38"/>
                <c:pt idx="0">
                  <c:v>356</c:v>
                </c:pt>
                <c:pt idx="1">
                  <c:v>697</c:v>
                </c:pt>
                <c:pt idx="2">
                  <c:v>28</c:v>
                </c:pt>
                <c:pt idx="3">
                  <c:v>7</c:v>
                </c:pt>
                <c:pt idx="4">
                  <c:v>2.5</c:v>
                </c:pt>
                <c:pt idx="5">
                  <c:v>0</c:v>
                </c:pt>
                <c:pt idx="6">
                  <c:v>694.5</c:v>
                </c:pt>
                <c:pt idx="7">
                  <c:v>35.5</c:v>
                </c:pt>
                <c:pt idx="8">
                  <c:v>267</c:v>
                </c:pt>
                <c:pt idx="9">
                  <c:v>293.5</c:v>
                </c:pt>
                <c:pt idx="10">
                  <c:v>0</c:v>
                </c:pt>
                <c:pt idx="11">
                  <c:v>129</c:v>
                </c:pt>
                <c:pt idx="12">
                  <c:v>295</c:v>
                </c:pt>
                <c:pt idx="13">
                  <c:v>0</c:v>
                </c:pt>
                <c:pt idx="14">
                  <c:v>26</c:v>
                </c:pt>
                <c:pt idx="15">
                  <c:v>184</c:v>
                </c:pt>
                <c:pt idx="16">
                  <c:v>0</c:v>
                </c:pt>
                <c:pt idx="17">
                  <c:v>0</c:v>
                </c:pt>
                <c:pt idx="18">
                  <c:v>31.5</c:v>
                </c:pt>
                <c:pt idx="19">
                  <c:v>411.5</c:v>
                </c:pt>
                <c:pt idx="20">
                  <c:v>309</c:v>
                </c:pt>
                <c:pt idx="21">
                  <c:v>292.5</c:v>
                </c:pt>
                <c:pt idx="22">
                  <c:v>346.5</c:v>
                </c:pt>
                <c:pt idx="23">
                  <c:v>265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372.5</c:v>
                </c:pt>
                <c:pt idx="29">
                  <c:v>359</c:v>
                </c:pt>
                <c:pt idx="30">
                  <c:v>356.5</c:v>
                </c:pt>
                <c:pt idx="31">
                  <c:v>271</c:v>
                </c:pt>
                <c:pt idx="32">
                  <c:v>158</c:v>
                </c:pt>
                <c:pt idx="33">
                  <c:v>0</c:v>
                </c:pt>
                <c:pt idx="34">
                  <c:v>26.5</c:v>
                </c:pt>
                <c:pt idx="35">
                  <c:v>0.5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4-9748-892A-285534935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919935"/>
        <c:axId val="1464243743"/>
      </c:barChart>
      <c:catAx>
        <c:axId val="1463919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4243743"/>
        <c:crosses val="autoZero"/>
        <c:auto val="1"/>
        <c:lblAlgn val="ctr"/>
        <c:lblOffset val="100"/>
        <c:noMultiLvlLbl val="0"/>
      </c:catAx>
      <c:valAx>
        <c:axId val="146424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391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工作表1!$N$1:$N$38</c:f>
              <c:numCache>
                <c:formatCode>General</c:formatCode>
                <c:ptCount val="38"/>
                <c:pt idx="0">
                  <c:v>9.9290780141843976E-3</c:v>
                </c:pt>
                <c:pt idx="1">
                  <c:v>5.128205128205128E-2</c:v>
                </c:pt>
                <c:pt idx="2">
                  <c:v>2.1111111111111112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2.0573108008817047E-2</c:v>
                </c:pt>
                <c:pt idx="7">
                  <c:v>4.916666666666667</c:v>
                </c:pt>
                <c:pt idx="8">
                  <c:v>0.93478260869565222</c:v>
                </c:pt>
                <c:pt idx="9">
                  <c:v>1.6088888888888888</c:v>
                </c:pt>
                <c:pt idx="10">
                  <c:v>0</c:v>
                </c:pt>
                <c:pt idx="11">
                  <c:v>-2.6415094339622643E-2</c:v>
                </c:pt>
                <c:pt idx="12">
                  <c:v>0.27982646420824298</c:v>
                </c:pt>
                <c:pt idx="13">
                  <c:v>0</c:v>
                </c:pt>
                <c:pt idx="14">
                  <c:v>0.23809523809523808</c:v>
                </c:pt>
                <c:pt idx="15">
                  <c:v>0.89690721649484539</c:v>
                </c:pt>
                <c:pt idx="16">
                  <c:v>0</c:v>
                </c:pt>
                <c:pt idx="17">
                  <c:v>0</c:v>
                </c:pt>
                <c:pt idx="18">
                  <c:v>-0.17105263157894737</c:v>
                </c:pt>
                <c:pt idx="19">
                  <c:v>0.55283018867924527</c:v>
                </c:pt>
                <c:pt idx="20">
                  <c:v>0.47494033412887826</c:v>
                </c:pt>
                <c:pt idx="21">
                  <c:v>0.73076923076923073</c:v>
                </c:pt>
                <c:pt idx="22">
                  <c:v>7.1097372488408042E-2</c:v>
                </c:pt>
                <c:pt idx="23">
                  <c:v>0.4763231197771588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2.7586206896551724E-2</c:v>
                </c:pt>
                <c:pt idx="29">
                  <c:v>2.7932960893854749E-3</c:v>
                </c:pt>
                <c:pt idx="30">
                  <c:v>0</c:v>
                </c:pt>
                <c:pt idx="31">
                  <c:v>0.40779220779220782</c:v>
                </c:pt>
                <c:pt idx="32">
                  <c:v>-0.18556701030927836</c:v>
                </c:pt>
                <c:pt idx="33">
                  <c:v>0</c:v>
                </c:pt>
                <c:pt idx="34">
                  <c:v>0.39473684210526316</c:v>
                </c:pt>
                <c:pt idx="35">
                  <c:v>0</c:v>
                </c:pt>
                <c:pt idx="36">
                  <c:v>-1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8-E043-AF58-9FEE43A9C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750527"/>
        <c:axId val="1464733567"/>
      </c:barChart>
      <c:catAx>
        <c:axId val="1425750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4733567"/>
        <c:crosses val="autoZero"/>
        <c:auto val="1"/>
        <c:lblAlgn val="ctr"/>
        <c:lblOffset val="100"/>
        <c:noMultiLvlLbl val="0"/>
      </c:catAx>
      <c:valAx>
        <c:axId val="14647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25750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雍塞變化量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工作表1!$C$1:$C$40</c:f>
              <c:numCache>
                <c:formatCode>General</c:formatCode>
                <c:ptCount val="40"/>
                <c:pt idx="0">
                  <c:v>0</c:v>
                </c:pt>
                <c:pt idx="1">
                  <c:v>0.94339622641509435</c:v>
                </c:pt>
                <c:pt idx="2">
                  <c:v>-21.153846153846153</c:v>
                </c:pt>
                <c:pt idx="3">
                  <c:v>15.384615384615385</c:v>
                </c:pt>
                <c:pt idx="4">
                  <c:v>0</c:v>
                </c:pt>
                <c:pt idx="5">
                  <c:v>50</c:v>
                </c:pt>
                <c:pt idx="6">
                  <c:v>0.93708165997322623</c:v>
                </c:pt>
                <c:pt idx="7">
                  <c:v>52</c:v>
                </c:pt>
                <c:pt idx="8">
                  <c:v>102.93453724604966</c:v>
                </c:pt>
                <c:pt idx="9">
                  <c:v>77.184466019417471</c:v>
                </c:pt>
                <c:pt idx="10">
                  <c:v>13.333333333333334</c:v>
                </c:pt>
                <c:pt idx="11">
                  <c:v>7.7380952380952381</c:v>
                </c:pt>
                <c:pt idx="12">
                  <c:v>6.7193675889328066</c:v>
                </c:pt>
                <c:pt idx="13">
                  <c:v>0</c:v>
                </c:pt>
                <c:pt idx="14">
                  <c:v>24.137931034482758</c:v>
                </c:pt>
                <c:pt idx="15">
                  <c:v>-10.891089108910892</c:v>
                </c:pt>
                <c:pt idx="16">
                  <c:v>0</c:v>
                </c:pt>
                <c:pt idx="17">
                  <c:v>-20</c:v>
                </c:pt>
                <c:pt idx="18">
                  <c:v>1.834862385321101</c:v>
                </c:pt>
                <c:pt idx="19">
                  <c:v>22.382671480144403</c:v>
                </c:pt>
                <c:pt idx="20">
                  <c:v>31.1284046692607</c:v>
                </c:pt>
                <c:pt idx="21">
                  <c:v>3.8461538461538463</c:v>
                </c:pt>
                <c:pt idx="22">
                  <c:v>1.8840579710144929</c:v>
                </c:pt>
                <c:pt idx="23">
                  <c:v>-46.858638743455501</c:v>
                </c:pt>
                <c:pt idx="24">
                  <c:v>-80</c:v>
                </c:pt>
                <c:pt idx="25">
                  <c:v>0</c:v>
                </c:pt>
                <c:pt idx="26">
                  <c:v>-100</c:v>
                </c:pt>
                <c:pt idx="27">
                  <c:v>0</c:v>
                </c:pt>
                <c:pt idx="28">
                  <c:v>7.4567243675099872</c:v>
                </c:pt>
                <c:pt idx="29">
                  <c:v>17.753623188405797</c:v>
                </c:pt>
                <c:pt idx="30">
                  <c:v>-1.0038610038610039</c:v>
                </c:pt>
                <c:pt idx="31">
                  <c:v>421.80451127819543</c:v>
                </c:pt>
                <c:pt idx="32">
                  <c:v>-21.951219512195124</c:v>
                </c:pt>
                <c:pt idx="33">
                  <c:v>0</c:v>
                </c:pt>
                <c:pt idx="34">
                  <c:v>70.909090909090907</c:v>
                </c:pt>
                <c:pt idx="35">
                  <c:v>3.5714285714285712</c:v>
                </c:pt>
                <c:pt idx="36">
                  <c:v>-100</c:v>
                </c:pt>
                <c:pt idx="37">
                  <c:v>-100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5-3345-B651-C4A88D84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2726095"/>
        <c:axId val="1400118991"/>
      </c:barChart>
      <c:catAx>
        <c:axId val="1522726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118991"/>
        <c:crosses val="autoZero"/>
        <c:auto val="1"/>
        <c:lblAlgn val="ctr"/>
        <c:lblOffset val="100"/>
        <c:noMultiLvlLbl val="0"/>
      </c:catAx>
      <c:valAx>
        <c:axId val="14001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272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0</xdr:row>
      <xdr:rowOff>76200</xdr:rowOff>
    </xdr:from>
    <xdr:to>
      <xdr:col>11</xdr:col>
      <xdr:colOff>114300</xdr:colOff>
      <xdr:row>19</xdr:row>
      <xdr:rowOff>165100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495ED31-9F3E-BE6F-F102-656BDC2C8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647700</xdr:colOff>
      <xdr:row>0</xdr:row>
      <xdr:rowOff>82550</xdr:rowOff>
    </xdr:from>
    <xdr:to>
      <xdr:col>24</xdr:col>
      <xdr:colOff>635000</xdr:colOff>
      <xdr:row>21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9286598-3571-FF6F-E46F-069186B73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800100</xdr:colOff>
      <xdr:row>21</xdr:row>
      <xdr:rowOff>158750</xdr:rowOff>
    </xdr:from>
    <xdr:to>
      <xdr:col>24</xdr:col>
      <xdr:colOff>368300</xdr:colOff>
      <xdr:row>48</xdr:row>
      <xdr:rowOff>12700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FE3D9DA-DE14-D840-5031-45C072D83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292100</xdr:colOff>
      <xdr:row>20</xdr:row>
      <xdr:rowOff>82550</xdr:rowOff>
    </xdr:from>
    <xdr:to>
      <xdr:col>11</xdr:col>
      <xdr:colOff>38100</xdr:colOff>
      <xdr:row>44</xdr:row>
      <xdr:rowOff>101600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DFC70BB-9DDD-A199-4D7A-52C45FDAE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BD61-8239-7B49-BA49-F71F85C9CE8F}">
  <dimension ref="A1:N52"/>
  <sheetViews>
    <sheetView tabSelected="1" topLeftCell="A15" workbookViewId="0">
      <selection activeCell="C1" sqref="C1:C40"/>
    </sheetView>
  </sheetViews>
  <sheetFormatPr baseColWidth="10" defaultRowHeight="15"/>
  <sheetData>
    <row r="1" spans="1:14">
      <c r="A1">
        <v>667.5</v>
      </c>
      <c r="B1">
        <v>667.5</v>
      </c>
      <c r="C1">
        <f>((B1-A1)/A1) * 100</f>
        <v>0</v>
      </c>
      <c r="L1">
        <v>352.5</v>
      </c>
      <c r="M1">
        <v>356</v>
      </c>
      <c r="N1">
        <f>(M1-L1)/L1</f>
        <v>9.9290780141843976E-3</v>
      </c>
    </row>
    <row r="2" spans="1:14">
      <c r="A2">
        <v>371</v>
      </c>
      <c r="B2">
        <v>374.5</v>
      </c>
      <c r="C2">
        <f t="shared" ref="C2:C40" si="0">((B2-A2)/A2) * 100</f>
        <v>0.94339622641509435</v>
      </c>
      <c r="L2">
        <v>663</v>
      </c>
      <c r="M2">
        <v>697</v>
      </c>
      <c r="N2">
        <f t="shared" ref="N2:N40" si="1">(M2-L2)/L2</f>
        <v>5.128205128205128E-2</v>
      </c>
    </row>
    <row r="3" spans="1:14">
      <c r="A3">
        <v>26</v>
      </c>
      <c r="B3">
        <v>20.5</v>
      </c>
      <c r="C3">
        <f t="shared" si="0"/>
        <v>-21.153846153846153</v>
      </c>
      <c r="L3">
        <v>9</v>
      </c>
      <c r="M3">
        <v>28</v>
      </c>
      <c r="N3">
        <f t="shared" si="1"/>
        <v>2.1111111111111112</v>
      </c>
    </row>
    <row r="4" spans="1:14">
      <c r="A4">
        <v>13</v>
      </c>
      <c r="B4">
        <v>15</v>
      </c>
      <c r="C4">
        <f t="shared" si="0"/>
        <v>15.384615384615385</v>
      </c>
      <c r="L4">
        <v>0</v>
      </c>
      <c r="M4">
        <v>7</v>
      </c>
      <c r="N4" t="e">
        <f t="shared" si="1"/>
        <v>#DIV/0!</v>
      </c>
    </row>
    <row r="5" spans="1:14">
      <c r="A5">
        <v>5.5</v>
      </c>
      <c r="B5">
        <v>5.5</v>
      </c>
      <c r="C5">
        <f t="shared" si="0"/>
        <v>0</v>
      </c>
      <c r="L5">
        <v>0</v>
      </c>
      <c r="M5">
        <v>2.5</v>
      </c>
      <c r="N5" t="e">
        <f t="shared" si="1"/>
        <v>#DIV/0!</v>
      </c>
    </row>
    <row r="6" spans="1:14">
      <c r="A6">
        <v>1</v>
      </c>
      <c r="B6">
        <v>1.5</v>
      </c>
      <c r="C6">
        <f t="shared" si="0"/>
        <v>50</v>
      </c>
      <c r="L6">
        <v>0</v>
      </c>
      <c r="M6">
        <v>0</v>
      </c>
      <c r="N6" t="e">
        <f t="shared" si="1"/>
        <v>#DIV/0!</v>
      </c>
    </row>
    <row r="7" spans="1:14">
      <c r="A7">
        <v>373.5</v>
      </c>
      <c r="B7">
        <v>377</v>
      </c>
      <c r="C7">
        <f t="shared" si="0"/>
        <v>0.93708165997322623</v>
      </c>
      <c r="L7">
        <v>680.5</v>
      </c>
      <c r="M7">
        <v>694.5</v>
      </c>
      <c r="N7">
        <f t="shared" si="1"/>
        <v>2.0573108008817047E-2</v>
      </c>
    </row>
    <row r="8" spans="1:14">
      <c r="A8">
        <v>12.5</v>
      </c>
      <c r="B8">
        <v>19</v>
      </c>
      <c r="C8">
        <f t="shared" si="0"/>
        <v>52</v>
      </c>
      <c r="L8">
        <v>6</v>
      </c>
      <c r="M8">
        <v>35.5</v>
      </c>
      <c r="N8">
        <f t="shared" si="1"/>
        <v>4.916666666666667</v>
      </c>
    </row>
    <row r="9" spans="1:14">
      <c r="A9">
        <v>221.5</v>
      </c>
      <c r="B9">
        <v>449.5</v>
      </c>
      <c r="C9">
        <f t="shared" si="0"/>
        <v>102.93453724604966</v>
      </c>
      <c r="L9">
        <v>138</v>
      </c>
      <c r="M9">
        <v>267</v>
      </c>
      <c r="N9">
        <f t="shared" si="1"/>
        <v>0.93478260869565222</v>
      </c>
    </row>
    <row r="10" spans="1:14">
      <c r="A10">
        <v>206</v>
      </c>
      <c r="B10">
        <v>365</v>
      </c>
      <c r="C10">
        <f t="shared" si="0"/>
        <v>77.184466019417471</v>
      </c>
      <c r="L10">
        <v>112.5</v>
      </c>
      <c r="M10">
        <v>293.5</v>
      </c>
      <c r="N10">
        <f t="shared" si="1"/>
        <v>1.6088888888888888</v>
      </c>
    </row>
    <row r="11" spans="1:14">
      <c r="A11">
        <v>7.5</v>
      </c>
      <c r="B11">
        <v>8.5</v>
      </c>
      <c r="C11">
        <f t="shared" si="0"/>
        <v>13.333333333333334</v>
      </c>
      <c r="L11">
        <v>0</v>
      </c>
      <c r="M11">
        <v>0</v>
      </c>
      <c r="N11" t="e">
        <f t="shared" si="1"/>
        <v>#DIV/0!</v>
      </c>
    </row>
    <row r="12" spans="1:14">
      <c r="A12">
        <v>84</v>
      </c>
      <c r="B12">
        <v>90.5</v>
      </c>
      <c r="C12">
        <f t="shared" si="0"/>
        <v>7.7380952380952381</v>
      </c>
      <c r="L12">
        <v>132.5</v>
      </c>
      <c r="M12">
        <v>129</v>
      </c>
      <c r="N12">
        <f t="shared" si="1"/>
        <v>-2.6415094339622643E-2</v>
      </c>
    </row>
    <row r="13" spans="1:14">
      <c r="A13">
        <v>253</v>
      </c>
      <c r="B13">
        <v>270</v>
      </c>
      <c r="C13">
        <f t="shared" si="0"/>
        <v>6.7193675889328066</v>
      </c>
      <c r="L13">
        <v>230.5</v>
      </c>
      <c r="M13">
        <v>295</v>
      </c>
      <c r="N13">
        <f t="shared" si="1"/>
        <v>0.27982646420824298</v>
      </c>
    </row>
    <row r="14" spans="1:14">
      <c r="A14">
        <v>0</v>
      </c>
      <c r="B14">
        <v>0</v>
      </c>
      <c r="C14" t="e">
        <f t="shared" si="0"/>
        <v>#DIV/0!</v>
      </c>
      <c r="L14">
        <v>0</v>
      </c>
      <c r="M14">
        <v>0</v>
      </c>
      <c r="N14" t="e">
        <f t="shared" si="1"/>
        <v>#DIV/0!</v>
      </c>
    </row>
    <row r="15" spans="1:14">
      <c r="A15">
        <v>14.5</v>
      </c>
      <c r="B15">
        <v>18</v>
      </c>
      <c r="C15">
        <f t="shared" si="0"/>
        <v>24.137931034482758</v>
      </c>
      <c r="L15">
        <v>21</v>
      </c>
      <c r="M15">
        <v>26</v>
      </c>
      <c r="N15">
        <f t="shared" si="1"/>
        <v>0.23809523809523808</v>
      </c>
    </row>
    <row r="16" spans="1:14">
      <c r="A16">
        <v>50.5</v>
      </c>
      <c r="B16">
        <v>45</v>
      </c>
      <c r="C16">
        <f t="shared" si="0"/>
        <v>-10.891089108910892</v>
      </c>
      <c r="L16">
        <v>97</v>
      </c>
      <c r="M16">
        <v>184</v>
      </c>
      <c r="N16">
        <f t="shared" si="1"/>
        <v>0.89690721649484539</v>
      </c>
    </row>
    <row r="17" spans="1:14">
      <c r="A17">
        <v>0</v>
      </c>
      <c r="B17">
        <v>0</v>
      </c>
      <c r="C17" t="e">
        <f t="shared" si="0"/>
        <v>#DIV/0!</v>
      </c>
      <c r="L17">
        <v>0</v>
      </c>
      <c r="M17">
        <v>0</v>
      </c>
      <c r="N17" t="e">
        <f t="shared" si="1"/>
        <v>#DIV/0!</v>
      </c>
    </row>
    <row r="18" spans="1:14">
      <c r="A18">
        <v>2.5</v>
      </c>
      <c r="B18">
        <v>2</v>
      </c>
      <c r="C18">
        <f t="shared" si="0"/>
        <v>-20</v>
      </c>
      <c r="L18">
        <v>0</v>
      </c>
      <c r="M18">
        <v>0</v>
      </c>
      <c r="N18" t="e">
        <f t="shared" si="1"/>
        <v>#DIV/0!</v>
      </c>
    </row>
    <row r="19" spans="1:14">
      <c r="A19">
        <v>54.5</v>
      </c>
      <c r="B19">
        <v>55.5</v>
      </c>
      <c r="C19">
        <f t="shared" si="0"/>
        <v>1.834862385321101</v>
      </c>
      <c r="L19">
        <v>38</v>
      </c>
      <c r="M19">
        <v>31.5</v>
      </c>
      <c r="N19">
        <f t="shared" si="1"/>
        <v>-0.17105263157894737</v>
      </c>
    </row>
    <row r="20" spans="1:14">
      <c r="A20">
        <v>138.5</v>
      </c>
      <c r="B20">
        <v>169.5</v>
      </c>
      <c r="C20">
        <f t="shared" si="0"/>
        <v>22.382671480144403</v>
      </c>
      <c r="L20">
        <v>265</v>
      </c>
      <c r="M20">
        <v>411.5</v>
      </c>
      <c r="N20">
        <f t="shared" si="1"/>
        <v>0.55283018867924527</v>
      </c>
    </row>
    <row r="21" spans="1:14">
      <c r="A21">
        <v>128.5</v>
      </c>
      <c r="B21">
        <v>168.5</v>
      </c>
      <c r="C21">
        <f t="shared" si="0"/>
        <v>31.1284046692607</v>
      </c>
      <c r="L21">
        <v>209.5</v>
      </c>
      <c r="M21">
        <v>309</v>
      </c>
      <c r="N21">
        <f t="shared" si="1"/>
        <v>0.47494033412887826</v>
      </c>
    </row>
    <row r="22" spans="1:14">
      <c r="A22">
        <v>325</v>
      </c>
      <c r="B22">
        <v>337.5</v>
      </c>
      <c r="C22">
        <f t="shared" si="0"/>
        <v>3.8461538461538463</v>
      </c>
      <c r="L22">
        <v>169</v>
      </c>
      <c r="M22">
        <v>292.5</v>
      </c>
      <c r="N22">
        <f t="shared" si="1"/>
        <v>0.73076923076923073</v>
      </c>
    </row>
    <row r="23" spans="1:14">
      <c r="A23">
        <v>345</v>
      </c>
      <c r="B23">
        <v>351.5</v>
      </c>
      <c r="C23">
        <f t="shared" si="0"/>
        <v>1.8840579710144929</v>
      </c>
      <c r="L23">
        <v>323.5</v>
      </c>
      <c r="M23">
        <v>346.5</v>
      </c>
      <c r="N23">
        <f t="shared" si="1"/>
        <v>7.1097372488408042E-2</v>
      </c>
    </row>
    <row r="24" spans="1:14">
      <c r="A24">
        <v>191</v>
      </c>
      <c r="B24">
        <v>101.5</v>
      </c>
      <c r="C24">
        <f t="shared" si="0"/>
        <v>-46.858638743455501</v>
      </c>
      <c r="L24">
        <v>179.5</v>
      </c>
      <c r="M24">
        <v>265</v>
      </c>
      <c r="N24">
        <f t="shared" si="1"/>
        <v>0.4763231197771588</v>
      </c>
    </row>
    <row r="25" spans="1:14">
      <c r="A25">
        <v>2.5</v>
      </c>
      <c r="B25">
        <v>0.5</v>
      </c>
      <c r="C25">
        <f t="shared" si="0"/>
        <v>-80</v>
      </c>
      <c r="L25">
        <v>0</v>
      </c>
      <c r="M25">
        <v>1</v>
      </c>
      <c r="N25" t="e">
        <f t="shared" si="1"/>
        <v>#DIV/0!</v>
      </c>
    </row>
    <row r="26" spans="1:14">
      <c r="A26">
        <v>0</v>
      </c>
      <c r="B26">
        <v>0.5</v>
      </c>
      <c r="C26" t="e">
        <f t="shared" si="0"/>
        <v>#DIV/0!</v>
      </c>
      <c r="L26">
        <v>0</v>
      </c>
      <c r="M26">
        <v>0</v>
      </c>
      <c r="N26" t="e">
        <f t="shared" si="1"/>
        <v>#DIV/0!</v>
      </c>
    </row>
    <row r="27" spans="1:14">
      <c r="A27">
        <v>0.5</v>
      </c>
      <c r="B27">
        <v>0</v>
      </c>
      <c r="C27">
        <f t="shared" si="0"/>
        <v>-100</v>
      </c>
      <c r="L27">
        <v>0</v>
      </c>
      <c r="M27">
        <v>0</v>
      </c>
      <c r="N27" t="e">
        <f t="shared" si="1"/>
        <v>#DIV/0!</v>
      </c>
    </row>
    <row r="28" spans="1:14">
      <c r="A28">
        <v>0</v>
      </c>
      <c r="B28">
        <v>0</v>
      </c>
      <c r="C28" t="e">
        <f t="shared" si="0"/>
        <v>#DIV/0!</v>
      </c>
      <c r="L28">
        <v>0</v>
      </c>
      <c r="M28">
        <v>0</v>
      </c>
      <c r="N28" t="e">
        <f t="shared" si="1"/>
        <v>#DIV/0!</v>
      </c>
    </row>
    <row r="29" spans="1:14">
      <c r="A29">
        <v>375.5</v>
      </c>
      <c r="B29">
        <v>403.5</v>
      </c>
      <c r="C29">
        <f t="shared" si="0"/>
        <v>7.4567243675099872</v>
      </c>
      <c r="L29">
        <v>362.5</v>
      </c>
      <c r="M29">
        <v>372.5</v>
      </c>
      <c r="N29">
        <f t="shared" si="1"/>
        <v>2.7586206896551724E-2</v>
      </c>
    </row>
    <row r="30" spans="1:14">
      <c r="A30">
        <v>414</v>
      </c>
      <c r="B30">
        <v>487.5</v>
      </c>
      <c r="C30">
        <f t="shared" si="0"/>
        <v>17.753623188405797</v>
      </c>
      <c r="L30">
        <v>358</v>
      </c>
      <c r="M30">
        <v>359</v>
      </c>
      <c r="N30">
        <f t="shared" si="1"/>
        <v>2.7932960893854749E-3</v>
      </c>
    </row>
    <row r="31" spans="1:14">
      <c r="A31">
        <v>647.5</v>
      </c>
      <c r="B31">
        <v>641</v>
      </c>
      <c r="C31">
        <f t="shared" si="0"/>
        <v>-1.0038610038610039</v>
      </c>
      <c r="L31">
        <v>356.5</v>
      </c>
      <c r="M31">
        <v>356.5</v>
      </c>
      <c r="N31">
        <f t="shared" si="1"/>
        <v>0</v>
      </c>
    </row>
    <row r="32" spans="1:14">
      <c r="A32">
        <v>66.5</v>
      </c>
      <c r="B32">
        <v>347</v>
      </c>
      <c r="C32">
        <f t="shared" si="0"/>
        <v>421.80451127819543</v>
      </c>
      <c r="L32">
        <v>192.5</v>
      </c>
      <c r="M32">
        <v>271</v>
      </c>
      <c r="N32">
        <f t="shared" si="1"/>
        <v>0.40779220779220782</v>
      </c>
    </row>
    <row r="33" spans="1:14">
      <c r="A33">
        <v>225.5</v>
      </c>
      <c r="B33">
        <v>176</v>
      </c>
      <c r="C33">
        <f t="shared" si="0"/>
        <v>-21.951219512195124</v>
      </c>
      <c r="L33">
        <v>194</v>
      </c>
      <c r="M33">
        <v>158</v>
      </c>
      <c r="N33">
        <f t="shared" si="1"/>
        <v>-0.18556701030927836</v>
      </c>
    </row>
    <row r="34" spans="1:14">
      <c r="A34">
        <v>0</v>
      </c>
      <c r="B34">
        <v>0</v>
      </c>
      <c r="C34" t="e">
        <f t="shared" si="0"/>
        <v>#DIV/0!</v>
      </c>
      <c r="L34">
        <v>0</v>
      </c>
      <c r="M34">
        <v>0</v>
      </c>
      <c r="N34" t="e">
        <f t="shared" si="1"/>
        <v>#DIV/0!</v>
      </c>
    </row>
    <row r="35" spans="1:14">
      <c r="A35">
        <v>27.5</v>
      </c>
      <c r="B35">
        <v>47</v>
      </c>
      <c r="C35">
        <f t="shared" si="0"/>
        <v>70.909090909090907</v>
      </c>
      <c r="L35">
        <v>19</v>
      </c>
      <c r="M35">
        <v>26.5</v>
      </c>
      <c r="N35">
        <f t="shared" si="1"/>
        <v>0.39473684210526316</v>
      </c>
    </row>
    <row r="36" spans="1:14">
      <c r="A36">
        <v>14</v>
      </c>
      <c r="B36">
        <v>14.5</v>
      </c>
      <c r="C36">
        <f t="shared" si="0"/>
        <v>3.5714285714285712</v>
      </c>
      <c r="L36">
        <v>0</v>
      </c>
      <c r="M36">
        <v>0.5</v>
      </c>
      <c r="N36" t="e">
        <f t="shared" si="1"/>
        <v>#DIV/0!</v>
      </c>
    </row>
    <row r="37" spans="1:14">
      <c r="A37">
        <v>70</v>
      </c>
      <c r="B37">
        <v>0</v>
      </c>
      <c r="C37">
        <f t="shared" si="0"/>
        <v>-100</v>
      </c>
      <c r="L37">
        <v>143</v>
      </c>
      <c r="M37">
        <v>0</v>
      </c>
      <c r="N37">
        <f t="shared" si="1"/>
        <v>-1</v>
      </c>
    </row>
    <row r="38" spans="1:14">
      <c r="A38">
        <v>0.5</v>
      </c>
      <c r="B38">
        <v>0</v>
      </c>
      <c r="C38">
        <f t="shared" si="0"/>
        <v>-100</v>
      </c>
      <c r="L38">
        <v>0</v>
      </c>
      <c r="M38">
        <v>0</v>
      </c>
      <c r="N38" t="e">
        <f t="shared" si="1"/>
        <v>#DIV/0!</v>
      </c>
    </row>
    <row r="39" spans="1:14">
      <c r="A39">
        <v>0</v>
      </c>
      <c r="B39">
        <v>0</v>
      </c>
      <c r="C39" t="e">
        <f t="shared" si="0"/>
        <v>#DIV/0!</v>
      </c>
      <c r="L39">
        <v>0</v>
      </c>
      <c r="M39">
        <v>0</v>
      </c>
      <c r="N39" t="e">
        <f t="shared" si="1"/>
        <v>#DIV/0!</v>
      </c>
    </row>
    <row r="40" spans="1:14">
      <c r="A40">
        <v>0</v>
      </c>
      <c r="B40">
        <v>0</v>
      </c>
      <c r="C40" t="e">
        <f t="shared" si="0"/>
        <v>#DIV/0!</v>
      </c>
      <c r="L40">
        <v>0</v>
      </c>
      <c r="M40">
        <v>0</v>
      </c>
      <c r="N40" t="e">
        <f t="shared" si="1"/>
        <v>#DIV/0!</v>
      </c>
    </row>
    <row r="52" spans="7:7">
      <c r="G52" t="s">
        <v>0</v>
      </c>
    </row>
  </sheetData>
  <phoneticPr fontId="1" type="noConversion"/>
  <pageMargins left="0.7" right="0.7" top="0.75" bottom="0.75" header="0.3" footer="0.3"/>
  <ignoredErrors>
    <ignoredError sqref="N17" evalErro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2023-05-29T06:42:49Z</dcterms:created>
  <dcterms:modified xsi:type="dcterms:W3CDTF">2023-06-01T10:57:29Z</dcterms:modified>
</cp:coreProperties>
</file>